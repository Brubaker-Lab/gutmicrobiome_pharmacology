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chelliu/Downloads/"/>
    </mc:Choice>
  </mc:AlternateContent>
  <xr:revisionPtr revIDLastSave="0" documentId="13_ncr:1_{9E924C81-7AE8-C54A-9627-9CFD4B2B683F}" xr6:coauthVersionLast="47" xr6:coauthVersionMax="47" xr10:uidLastSave="{00000000-0000-0000-0000-000000000000}"/>
  <bookViews>
    <workbookView xWindow="74360" yWindow="2820" windowWidth="35420" windowHeight="20780" activeTab="1" xr2:uid="{00000000-000D-0000-FFFF-FFFF00000000}"/>
  </bookViews>
  <sheets>
    <sheet name="Plate 1 - Sheet1" sheetId="1" r:id="rId1"/>
    <sheet name="Sheet2" sheetId="3" r:id="rId2"/>
  </sheets>
  <definedNames>
    <definedName name="MethodPointer1">-620401504</definedName>
    <definedName name="MethodPointer2">415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4" i="3" l="1"/>
  <c r="E55" i="3"/>
  <c r="K78" i="1"/>
  <c r="E52" i="3"/>
  <c r="F64" i="3" s="1"/>
  <c r="E51" i="1"/>
  <c r="D63" i="1" s="1"/>
  <c r="D64" i="3" l="1"/>
  <c r="G64" i="3"/>
  <c r="E64" i="3"/>
  <c r="G66" i="3"/>
  <c r="G63" i="3"/>
  <c r="G60" i="3"/>
  <c r="F66" i="3"/>
  <c r="F63" i="3"/>
  <c r="F60" i="3"/>
  <c r="E66" i="3"/>
  <c r="E63" i="3"/>
  <c r="E60" i="3"/>
  <c r="D66" i="3"/>
  <c r="D63" i="3"/>
  <c r="D60" i="3"/>
  <c r="K65" i="3"/>
  <c r="K62" i="3"/>
  <c r="K59" i="3"/>
  <c r="J65" i="3"/>
  <c r="J62" i="3"/>
  <c r="J59" i="3"/>
  <c r="I65" i="3"/>
  <c r="I62" i="3"/>
  <c r="I59" i="3"/>
  <c r="H65" i="3"/>
  <c r="H62" i="3"/>
  <c r="H59" i="3"/>
  <c r="G65" i="3"/>
  <c r="G62" i="3"/>
  <c r="G59" i="3"/>
  <c r="F65" i="3"/>
  <c r="F62" i="3"/>
  <c r="F59" i="3"/>
  <c r="E65" i="3"/>
  <c r="E62" i="3"/>
  <c r="E59" i="3"/>
  <c r="D65" i="3"/>
  <c r="D62" i="3"/>
  <c r="D59" i="3"/>
  <c r="K64" i="3"/>
  <c r="K61" i="3"/>
  <c r="J64" i="3"/>
  <c r="J61" i="3"/>
  <c r="H64" i="3"/>
  <c r="F52" i="3"/>
  <c r="I64" i="3"/>
  <c r="H60" i="3"/>
  <c r="I60" i="3"/>
  <c r="J60" i="3"/>
  <c r="K60" i="3"/>
  <c r="D61" i="3"/>
  <c r="E61" i="3"/>
  <c r="F61" i="3"/>
  <c r="G61" i="3"/>
  <c r="H61" i="3"/>
  <c r="I61" i="3"/>
  <c r="H63" i="3"/>
  <c r="I63" i="3"/>
  <c r="J63" i="3"/>
  <c r="K63" i="3"/>
  <c r="F58" i="1"/>
  <c r="K57" i="1"/>
  <c r="J57" i="1"/>
  <c r="I57" i="1"/>
  <c r="H57" i="1"/>
  <c r="G57" i="1"/>
  <c r="F57" i="1"/>
  <c r="E57" i="1"/>
  <c r="E61" i="1"/>
  <c r="D61" i="1"/>
  <c r="K60" i="1"/>
  <c r="J60" i="1"/>
  <c r="I60" i="1"/>
  <c r="H60" i="1"/>
  <c r="G60" i="1"/>
  <c r="E58" i="1"/>
  <c r="D58" i="1"/>
  <c r="F60" i="1"/>
  <c r="G63" i="1"/>
  <c r="F63" i="1"/>
  <c r="E60" i="1"/>
  <c r="E63" i="1"/>
  <c r="D60" i="1"/>
  <c r="K62" i="1"/>
  <c r="K59" i="1"/>
  <c r="J62" i="1"/>
  <c r="J59" i="1"/>
  <c r="I62" i="1"/>
  <c r="I59" i="1"/>
  <c r="H62" i="1"/>
  <c r="H59" i="1"/>
  <c r="G62" i="1"/>
  <c r="G59" i="1"/>
  <c r="F62" i="1"/>
  <c r="F59" i="1"/>
  <c r="E62" i="1"/>
  <c r="E59" i="1"/>
  <c r="D62" i="1"/>
  <c r="D59" i="1"/>
  <c r="K61" i="1"/>
  <c r="K58" i="1"/>
  <c r="J61" i="1"/>
  <c r="J58" i="1"/>
  <c r="I61" i="1"/>
  <c r="I58" i="1"/>
  <c r="H61" i="1"/>
  <c r="H58" i="1"/>
  <c r="F51" i="1"/>
  <c r="G61" i="1"/>
  <c r="G58" i="1"/>
  <c r="D57" i="1"/>
  <c r="F61" i="1"/>
  <c r="E55" i="1" l="1"/>
  <c r="F55" i="1" s="1"/>
  <c r="I71" i="3"/>
  <c r="I73" i="3"/>
  <c r="H73" i="3"/>
  <c r="K71" i="3"/>
  <c r="K73" i="3"/>
  <c r="D71" i="3"/>
  <c r="D72" i="3"/>
  <c r="F54" i="3"/>
  <c r="E57" i="3"/>
  <c r="F57" i="3" s="1"/>
  <c r="K72" i="3"/>
  <c r="J71" i="3"/>
  <c r="J70" i="3"/>
  <c r="J73" i="3"/>
  <c r="J72" i="3"/>
  <c r="E71" i="3"/>
  <c r="E72" i="3"/>
  <c r="H72" i="3"/>
  <c r="F71" i="3"/>
  <c r="F72" i="3"/>
  <c r="G71" i="3"/>
  <c r="G72" i="3"/>
  <c r="E73" i="3"/>
  <c r="D73" i="3"/>
  <c r="E53" i="1"/>
  <c r="D68" i="1"/>
  <c r="D71" i="1"/>
  <c r="G68" i="1"/>
  <c r="G71" i="1"/>
  <c r="H68" i="1" l="1"/>
  <c r="H66" i="1"/>
  <c r="E68" i="3"/>
  <c r="D70" i="3"/>
  <c r="I69" i="3"/>
  <c r="I68" i="3"/>
  <c r="E69" i="3"/>
  <c r="I70" i="3"/>
  <c r="H68" i="3"/>
  <c r="F70" i="3"/>
  <c r="G69" i="3"/>
  <c r="F69" i="3"/>
  <c r="K69" i="3"/>
  <c r="E70" i="3"/>
  <c r="D68" i="3"/>
  <c r="K68" i="3"/>
  <c r="F55" i="3"/>
  <c r="G73" i="3"/>
  <c r="F73" i="3"/>
  <c r="K83" i="3" s="1"/>
  <c r="K70" i="3"/>
  <c r="F68" i="3"/>
  <c r="I72" i="3"/>
  <c r="K82" i="3" s="1"/>
  <c r="H71" i="3"/>
  <c r="L80" i="3" s="1"/>
  <c r="K80" i="3"/>
  <c r="G68" i="3"/>
  <c r="L81" i="3"/>
  <c r="K81" i="3"/>
  <c r="G70" i="3"/>
  <c r="L79" i="3"/>
  <c r="K79" i="3"/>
  <c r="H70" i="3"/>
  <c r="D69" i="3"/>
  <c r="L84" i="3"/>
  <c r="K84" i="3"/>
  <c r="J68" i="3"/>
  <c r="H69" i="3"/>
  <c r="J69" i="3"/>
  <c r="K70" i="1"/>
  <c r="K67" i="1"/>
  <c r="F69" i="1"/>
  <c r="J70" i="1"/>
  <c r="J67" i="1"/>
  <c r="I70" i="1"/>
  <c r="E69" i="1"/>
  <c r="I67" i="1"/>
  <c r="H70" i="1"/>
  <c r="D69" i="1"/>
  <c r="H67" i="1"/>
  <c r="K71" i="1"/>
  <c r="K68" i="1"/>
  <c r="G70" i="1"/>
  <c r="J71" i="1"/>
  <c r="G67" i="1"/>
  <c r="J68" i="1"/>
  <c r="H71" i="1"/>
  <c r="K79" i="1"/>
  <c r="J79" i="1"/>
  <c r="F78" i="1"/>
  <c r="E78" i="1"/>
  <c r="J69" i="1"/>
  <c r="K69" i="1"/>
  <c r="K66" i="1"/>
  <c r="I69" i="1"/>
  <c r="H69" i="1"/>
  <c r="G69" i="1"/>
  <c r="E67" i="1"/>
  <c r="D67" i="1"/>
  <c r="J66" i="1"/>
  <c r="I66" i="1"/>
  <c r="E70" i="1"/>
  <c r="D70" i="1"/>
  <c r="F67" i="1"/>
  <c r="F71" i="1"/>
  <c r="F53" i="1"/>
  <c r="F68" i="1"/>
  <c r="I71" i="1"/>
  <c r="E71" i="1"/>
  <c r="K80" i="1" s="1"/>
  <c r="F70" i="1"/>
  <c r="E68" i="1"/>
  <c r="F79" i="1" s="1"/>
  <c r="I68" i="1"/>
  <c r="G79" i="3" l="1"/>
  <c r="F80" i="1"/>
  <c r="E80" i="1"/>
  <c r="K81" i="1"/>
  <c r="J81" i="1"/>
  <c r="E76" i="1"/>
  <c r="G83" i="3"/>
  <c r="L83" i="3"/>
  <c r="G80" i="3"/>
  <c r="L82" i="3"/>
  <c r="G82" i="3"/>
  <c r="F82" i="3"/>
  <c r="G81" i="3"/>
  <c r="F81" i="3"/>
  <c r="G84" i="3"/>
  <c r="F84" i="3"/>
  <c r="F83" i="3"/>
  <c r="F80" i="3"/>
  <c r="F79" i="3"/>
  <c r="K76" i="1"/>
  <c r="F77" i="1"/>
  <c r="E77" i="1"/>
  <c r="K77" i="1"/>
  <c r="J77" i="1"/>
  <c r="F76" i="1"/>
  <c r="J76" i="1"/>
  <c r="E79" i="1"/>
  <c r="J78" i="1"/>
  <c r="J80" i="1"/>
</calcChain>
</file>

<file path=xl/sharedStrings.xml><?xml version="1.0" encoding="utf-8"?>
<sst xmlns="http://schemas.openxmlformats.org/spreadsheetml/2006/main" count="278" uniqueCount="132">
  <si>
    <t>Software Version</t>
  </si>
  <si>
    <t>3.17.17</t>
  </si>
  <si>
    <t>Experiment File Path:</t>
  </si>
  <si>
    <t>C:\Users\Lab\Documents\Solorio_Lab\Tatiana\Viability_5_JUL23.xpt</t>
  </si>
  <si>
    <t>Protocol File Path:</t>
  </si>
  <si>
    <t>C:\Users\Lab\Documents\Solorio_Lab\Tatiana\ct1.prt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</si>
  <si>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</si>
  <si>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</si>
  <si>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</si>
  <si>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</si>
  <si>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</si>
  <si>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</si>
  <si>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</si>
  <si>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</si>
  <si>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</si>
  <si>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</si>
  <si>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</si>
  <si>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</si>
  <si>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</si>
  <si>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</si>
  <si>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</si>
  <si>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</si>
  <si>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</si>
  <si>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560/20,  Emission: 590/20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</si>
  <si>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</si>
  <si>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</si>
  <si>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</si>
  <si>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</si>
  <si>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Layout</t>
  </si>
  <si>
    <t>A</t>
  </si>
  <si>
    <t>SPL1</t>
  </si>
  <si>
    <t>SPL8</t>
  </si>
  <si>
    <t>SPL15</t>
  </si>
  <si>
    <t>SPL22</t>
  </si>
  <si>
    <t>SPL29</t>
  </si>
  <si>
    <t>SPL36</t>
  </si>
  <si>
    <t>SPL43</t>
  </si>
  <si>
    <t>SPL50</t>
  </si>
  <si>
    <t>Well ID</t>
  </si>
  <si>
    <t>B</t>
  </si>
  <si>
    <t>SPL2</t>
  </si>
  <si>
    <t>SPL9</t>
  </si>
  <si>
    <t>SPL16</t>
  </si>
  <si>
    <t>SPL23</t>
  </si>
  <si>
    <t>SPL30</t>
  </si>
  <si>
    <t>SPL37</t>
  </si>
  <si>
    <t>SPL44</t>
  </si>
  <si>
    <t>SPL51</t>
  </si>
  <si>
    <t>C</t>
  </si>
  <si>
    <t>SPL3</t>
  </si>
  <si>
    <t>SPL10</t>
  </si>
  <si>
    <t>SPL17</t>
  </si>
  <si>
    <t>SPL24</t>
  </si>
  <si>
    <t>SPL31</t>
  </si>
  <si>
    <t>SPL38</t>
  </si>
  <si>
    <t>SPL45</t>
  </si>
  <si>
    <t>SPL52</t>
  </si>
  <si>
    <t>D</t>
  </si>
  <si>
    <t>SPL4</t>
  </si>
  <si>
    <t>SPL11</t>
  </si>
  <si>
    <t>SPL18</t>
  </si>
  <si>
    <t>SPL25</t>
  </si>
  <si>
    <t>SPL32</t>
  </si>
  <si>
    <t>SPL39</t>
  </si>
  <si>
    <t>SPL46</t>
  </si>
  <si>
    <t>SPL53</t>
  </si>
  <si>
    <t>E</t>
  </si>
  <si>
    <t>SPL5</t>
  </si>
  <si>
    <t>SPL12</t>
  </si>
  <si>
    <t>SPL19</t>
  </si>
  <si>
    <t>SPL26</t>
  </si>
  <si>
    <t>SPL33</t>
  </si>
  <si>
    <t>SPL40</t>
  </si>
  <si>
    <t>SPL47</t>
  </si>
  <si>
    <t>SPL54</t>
  </si>
  <si>
    <t>F</t>
  </si>
  <si>
    <t>SPL6</t>
  </si>
  <si>
    <t>SPL13</t>
  </si>
  <si>
    <t>SPL20</t>
  </si>
  <si>
    <t>SPL27</t>
  </si>
  <si>
    <t>SPL34</t>
  </si>
  <si>
    <t>SPL41</t>
  </si>
  <si>
    <t>SPL48</t>
  </si>
  <si>
    <t>SPL55</t>
  </si>
  <si>
    <t>G</t>
  </si>
  <si>
    <t>SPL7</t>
  </si>
  <si>
    <t>SPL14</t>
  </si>
  <si>
    <t>SPL21</t>
  </si>
  <si>
    <t>SPL28</t>
  </si>
  <si>
    <t>SPL35</t>
  </si>
  <si>
    <t>SPL42</t>
  </si>
  <si>
    <t>SPL49</t>
  </si>
  <si>
    <t>SPL56</t>
  </si>
  <si>
    <t>H</t>
  </si>
  <si>
    <t>Results</t>
  </si>
  <si>
    <t>Actual Temperature:</t>
  </si>
  <si>
    <t>BLANK</t>
  </si>
  <si>
    <t>Vehicle Control</t>
  </si>
  <si>
    <t>Media Control</t>
  </si>
  <si>
    <t>Isodeoxycholic Acid [uM]</t>
  </si>
  <si>
    <t>Guanosine [uM]</t>
  </si>
  <si>
    <t>Concentration</t>
  </si>
  <si>
    <t>Viability</t>
  </si>
  <si>
    <t>Dev.</t>
  </si>
  <si>
    <t>Vehicle 1</t>
  </si>
  <si>
    <t>Vehicle 2</t>
  </si>
  <si>
    <t>Control</t>
  </si>
  <si>
    <t>3-guanidinopropionic Acid [mM]</t>
  </si>
  <si>
    <t>Regorafenib [uM]</t>
  </si>
  <si>
    <t>C:\Users\Lab\Documents\Solorio_Lab\Tatiana\Viability_5.2_JUL23.xpt</t>
  </si>
  <si>
    <t>Plate 2</t>
  </si>
  <si>
    <t>SPL57</t>
  </si>
  <si>
    <t>SPL65</t>
  </si>
  <si>
    <t>SPL58</t>
  </si>
  <si>
    <t>SPL66</t>
  </si>
  <si>
    <t>SPL59</t>
  </si>
  <si>
    <t>SPL67</t>
  </si>
  <si>
    <t>SPL60</t>
  </si>
  <si>
    <t>SPL68</t>
  </si>
  <si>
    <t>SPL61</t>
  </si>
  <si>
    <t>SPL69</t>
  </si>
  <si>
    <t>SPL62</t>
  </si>
  <si>
    <t>SPL70</t>
  </si>
  <si>
    <t>SPL63</t>
  </si>
  <si>
    <t>SPL71</t>
  </si>
  <si>
    <t>SPL64</t>
  </si>
  <si>
    <t>SPL72</t>
  </si>
  <si>
    <t>Vehicle 1: 10% Water (3-G)</t>
  </si>
  <si>
    <t>Vehicle 2: 0.2% DMSO (Reg)</t>
  </si>
  <si>
    <t xml:space="preserve">3-guanidinopropionic Acid [mM]		</t>
  </si>
  <si>
    <t xml:space="preserve">Regorafenib [uM]		</t>
  </si>
  <si>
    <t>Vehicle: 0.2% DMSO (IsoA/Gua)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</si>
</sst>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  <font>
      <sz val="1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1"/>
      </top>
      <bottom style="thin">
        <color rgb="FF000000"/>
      </bottom>
      <diagonal/>
    </border>
    <border>
      <left/>
      <right/>
      <top style="thin">
        <color theme="1"/>
      </top>
      <bottom style="thin">
        <color rgb="FF000000"/>
      </bottom>
      <diagonal/>
    </border>
    <border>
      <left/>
      <right style="thin">
        <color rgb="FF000000"/>
      </right>
      <top style="thin">
        <color theme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5" fillId="0" borderId="0"/>
  </cellStyleXfs>
  <cellXfs count="7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5" fillId="0" borderId="0" xfId="0" applyFont="1"/>
    <xf numFmtId="9" fontId="0" fillId="0" borderId="0" xfId="1" applyFont="1"/>
    <xf numFmtId="164" fontId="0" fillId="0" borderId="0" xfId="1" applyNumberFormat="1" applyFont="1"/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5" fillId="0" borderId="0" xfId="2"/>
    <xf numFmtId="14" fontId="5" fillId="0" borderId="0" xfId="2" applyNumberFormat="1"/>
    <xf numFmtId="19" fontId="5" fillId="0" borderId="0" xfId="2" applyNumberFormat="1"/>
    <xf numFmtId="0" fontId="1" fillId="0" borderId="0" xfId="2" applyFont="1" applyAlignment="1">
      <alignment horizontal="left" vertical="center" wrapText="1"/>
    </xf>
    <xf numFmtId="0" fontId="2" fillId="0" borderId="0" xfId="2" applyFont="1" applyAlignment="1">
      <alignment horizontal="left" vertical="center" wrapText="1"/>
    </xf>
    <xf numFmtId="0" fontId="5" fillId="2" borderId="1" xfId="2" applyFill="1" applyBorder="1" applyAlignment="1">
      <alignment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2" fillId="3" borderId="1" xfId="2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 wrapText="1"/>
    </xf>
    <xf numFmtId="0" fontId="4" fillId="0" borderId="0" xfId="2" applyFont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wrapText="1"/>
    </xf>
    <xf numFmtId="9" fontId="0" fillId="0" borderId="1" xfId="1" applyFont="1" applyBorder="1"/>
    <xf numFmtId="164" fontId="0" fillId="0" borderId="1" xfId="1" applyNumberFormat="1" applyFont="1" applyBorder="1"/>
    <xf numFmtId="9" fontId="0" fillId="0" borderId="1" xfId="0" applyNumberFormat="1" applyBorder="1"/>
    <xf numFmtId="2" fontId="6" fillId="0" borderId="1" xfId="0" applyNumberFormat="1" applyFont="1" applyBorder="1" applyAlignment="1">
      <alignment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15" borderId="0" xfId="0" applyFill="1"/>
    <xf numFmtId="0" fontId="0" fillId="16" borderId="0" xfId="0" applyFill="1"/>
    <xf numFmtId="0" fontId="2" fillId="3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15" borderId="7" xfId="0" applyFont="1" applyFill="1" applyBorder="1" applyAlignment="1">
      <alignment horizontal="center" vertical="center" wrapText="1"/>
    </xf>
    <xf numFmtId="0" fontId="2" fillId="15" borderId="8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5" borderId="10" xfId="0" applyFont="1" applyFill="1" applyBorder="1" applyAlignment="1">
      <alignment horizontal="center" vertical="center" wrapText="1"/>
    </xf>
    <xf numFmtId="0" fontId="2" fillId="15" borderId="11" xfId="0" applyFont="1" applyFill="1" applyBorder="1" applyAlignment="1">
      <alignment horizontal="center" vertical="center" wrapText="1"/>
    </xf>
    <xf numFmtId="0" fontId="2" fillId="15" borderId="12" xfId="0" applyFont="1" applyFill="1" applyBorder="1" applyAlignment="1">
      <alignment horizontal="center" vertical="center" wrapText="1"/>
    </xf>
    <xf numFmtId="0" fontId="2" fillId="15" borderId="13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2" fillId="13" borderId="14" xfId="0" applyFont="1" applyFill="1" applyBorder="1" applyAlignment="1">
      <alignment horizontal="center" vertical="center" wrapText="1"/>
    </xf>
    <xf numFmtId="0" fontId="2" fillId="13" borderId="15" xfId="0" applyFont="1" applyFill="1" applyBorder="1" applyAlignment="1">
      <alignment horizontal="center" vertical="center" wrapText="1"/>
    </xf>
    <xf numFmtId="0" fontId="2" fillId="13" borderId="16" xfId="0" applyFont="1" applyFill="1" applyBorder="1" applyAlignment="1">
      <alignment horizontal="center" vertical="center" wrapText="1"/>
    </xf>
    <xf numFmtId="0" fontId="2" fillId="17" borderId="7" xfId="0" applyFont="1" applyFill="1" applyBorder="1" applyAlignment="1">
      <alignment horizontal="center" vertical="center" wrapText="1"/>
    </xf>
    <xf numFmtId="0" fontId="2" fillId="17" borderId="8" xfId="0" applyFont="1" applyFill="1" applyBorder="1" applyAlignment="1">
      <alignment horizontal="center" vertical="center" wrapText="1"/>
    </xf>
    <xf numFmtId="0" fontId="2" fillId="17" borderId="9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2D6E20D8-A22F-43CC-9D92-051FECC6237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Isodeoxycholic Acid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'Plate 1 - Sheet1'!$F$76:$F$80</c:f>
                <c:numCache>
                  <c:formatCode>General</c:formatCode>
                  <c:ptCount val="5"/>
                  <c:pt idx="0">
                    <c:v>2.1542997646535701E-2</c:v>
                  </c:pt>
                  <c:pt idx="1">
                    <c:v>3.6305064680882265E-2</c:v>
                  </c:pt>
                  <c:pt idx="2">
                    <c:v>4.8304400644351791E-2</c:v>
                  </c:pt>
                  <c:pt idx="3">
                    <c:v>3.641251712830882E-2</c:v>
                  </c:pt>
                  <c:pt idx="4">
                    <c:v>7.380356653917429E-2</c:v>
                  </c:pt>
                </c:numCache>
              </c:numRef>
            </c:plus>
            <c:minus>
              <c:numRef>
                <c:f>'Plate 1 - Sheet1'!$F$76:$F$80</c:f>
                <c:numCache>
                  <c:formatCode>General</c:formatCode>
                  <c:ptCount val="5"/>
                  <c:pt idx="0">
                    <c:v>2.1542997646535701E-2</c:v>
                  </c:pt>
                  <c:pt idx="1">
                    <c:v>3.6305064680882265E-2</c:v>
                  </c:pt>
                  <c:pt idx="2">
                    <c:v>4.8304400644351791E-2</c:v>
                  </c:pt>
                  <c:pt idx="3">
                    <c:v>3.641251712830882E-2</c:v>
                  </c:pt>
                  <c:pt idx="4">
                    <c:v>7.380356653917429E-2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'Plate 1 - Sheet1'!$D$76:$D$80</c:f>
              <c:numCache>
                <c:formatCode>General</c:formatCode>
                <c:ptCount val="5"/>
                <c:pt idx="0">
                  <c:v>80</c:v>
                </c:pt>
                <c:pt idx="1">
                  <c:v>40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</c:numCache>
            </c:numRef>
          </c:xVal>
          <c:yVal>
            <c:numRef>
              <c:f>'Plate 1 - Sheet1'!$E$76:$E$80</c:f>
              <c:numCache>
                <c:formatCode>0%</c:formatCode>
                <c:ptCount val="5"/>
                <c:pt idx="0">
                  <c:v>0.85600477475607228</c:v>
                </c:pt>
                <c:pt idx="1">
                  <c:v>0.91391815445297908</c:v>
                </c:pt>
                <c:pt idx="2">
                  <c:v>0.99711633277973832</c:v>
                </c:pt>
                <c:pt idx="3">
                  <c:v>0.96693351671164618</c:v>
                </c:pt>
                <c:pt idx="4">
                  <c:v>0.99733366203030926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B5-4CBC-8306-9FF5F354A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518856"/>
        <c:axId val="1121518088"/>
      </c:scatterChart>
      <c:valAx>
        <c:axId val="917518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 [uM]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518088"/>
        <c:crosses val="autoZero"/>
        <c:crossBetween val="midCat"/>
      </c:valAx>
      <c:valAx>
        <c:axId val="1121518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Viability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518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Guanosine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'Plate 1 - Sheet1'!$K$76:$K$81</c:f>
                <c:numCache>
                  <c:formatCode>General</c:formatCode>
                  <c:ptCount val="6"/>
                  <c:pt idx="0">
                    <c:v>0.10568199671107659</c:v>
                  </c:pt>
                  <c:pt idx="1">
                    <c:v>0.10901641892628393</c:v>
                  </c:pt>
                  <c:pt idx="2">
                    <c:v>0.19318707917476935</c:v>
                  </c:pt>
                  <c:pt idx="3">
                    <c:v>8.442600116685621E-2</c:v>
                  </c:pt>
                  <c:pt idx="4">
                    <c:v>0.14348503836401966</c:v>
                  </c:pt>
                  <c:pt idx="5">
                    <c:v>0.11120612126920064</c:v>
                  </c:pt>
                </c:numCache>
              </c:numRef>
            </c:plus>
            <c:minus>
              <c:numRef>
                <c:f>'Plate 1 - Sheet1'!$K$76:$K$81</c:f>
                <c:numCache>
                  <c:formatCode>General</c:formatCode>
                  <c:ptCount val="6"/>
                  <c:pt idx="0">
                    <c:v>0.10568199671107659</c:v>
                  </c:pt>
                  <c:pt idx="1">
                    <c:v>0.10901641892628393</c:v>
                  </c:pt>
                  <c:pt idx="2">
                    <c:v>0.19318707917476935</c:v>
                  </c:pt>
                  <c:pt idx="3">
                    <c:v>8.442600116685621E-2</c:v>
                  </c:pt>
                  <c:pt idx="4">
                    <c:v>0.14348503836401966</c:v>
                  </c:pt>
                  <c:pt idx="5">
                    <c:v>0.11120612126920064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'Plate 1 - Sheet1'!$I$76:$I$81</c:f>
              <c:numCache>
                <c:formatCode>General</c:formatCode>
                <c:ptCount val="6"/>
                <c:pt idx="0">
                  <c:v>200</c:v>
                </c:pt>
                <c:pt idx="1">
                  <c:v>100</c:v>
                </c:pt>
                <c:pt idx="2">
                  <c:v>50</c:v>
                </c:pt>
                <c:pt idx="3">
                  <c:v>25</c:v>
                </c:pt>
                <c:pt idx="4">
                  <c:v>12.5</c:v>
                </c:pt>
                <c:pt idx="5">
                  <c:v>6.25</c:v>
                </c:pt>
              </c:numCache>
            </c:numRef>
          </c:xVal>
          <c:yVal>
            <c:numRef>
              <c:f>'Plate 1 - Sheet1'!$J$76:$J$81</c:f>
              <c:numCache>
                <c:formatCode>0%</c:formatCode>
                <c:ptCount val="6"/>
                <c:pt idx="0">
                  <c:v>0.83097298629852601</c:v>
                </c:pt>
                <c:pt idx="1">
                  <c:v>0.91054792920905114</c:v>
                </c:pt>
                <c:pt idx="2">
                  <c:v>1.017941016192651</c:v>
                </c:pt>
                <c:pt idx="3">
                  <c:v>0.93629009238115002</c:v>
                </c:pt>
                <c:pt idx="4">
                  <c:v>0.95029647602242062</c:v>
                </c:pt>
                <c:pt idx="5">
                  <c:v>0.84012027714345039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8-4A93-B39B-5BA88F0D3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019848"/>
        <c:axId val="290046472"/>
      </c:scatterChart>
      <c:valAx>
        <c:axId val="290019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 [uM]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046472"/>
        <c:crosses val="autoZero"/>
        <c:crossBetween val="midCat"/>
      </c:valAx>
      <c:valAx>
        <c:axId val="290046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Viability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019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3-guanidinopropionic Acid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Sheet2!$G$79:$G$84</c:f>
                <c:numCache>
                  <c:formatCode>General</c:formatCode>
                  <c:ptCount val="6"/>
                  <c:pt idx="0">
                    <c:v>3.281675545112623E-2</c:v>
                  </c:pt>
                  <c:pt idx="1">
                    <c:v>1.532523719738677E-2</c:v>
                  </c:pt>
                  <c:pt idx="2">
                    <c:v>2.2953271666830144E-2</c:v>
                  </c:pt>
                  <c:pt idx="3">
                    <c:v>3.040252727549755E-2</c:v>
                  </c:pt>
                  <c:pt idx="4">
                    <c:v>8.4461990381894197E-2</c:v>
                  </c:pt>
                  <c:pt idx="5">
                    <c:v>0.10262147209967058</c:v>
                  </c:pt>
                </c:numCache>
              </c:numRef>
            </c:plus>
            <c:minus>
              <c:numRef>
                <c:f>Sheet2!$G$79:$G$84</c:f>
                <c:numCache>
                  <c:formatCode>General</c:formatCode>
                  <c:ptCount val="6"/>
                  <c:pt idx="0">
                    <c:v>3.281675545112623E-2</c:v>
                  </c:pt>
                  <c:pt idx="1">
                    <c:v>1.532523719738677E-2</c:v>
                  </c:pt>
                  <c:pt idx="2">
                    <c:v>2.2953271666830144E-2</c:v>
                  </c:pt>
                  <c:pt idx="3">
                    <c:v>3.040252727549755E-2</c:v>
                  </c:pt>
                  <c:pt idx="4">
                    <c:v>8.4461990381894197E-2</c:v>
                  </c:pt>
                  <c:pt idx="5">
                    <c:v>0.10262147209967058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Sheet2!$E$79:$E$84</c:f>
              <c:numCache>
                <c:formatCode>General</c:formatCode>
                <c:ptCount val="6"/>
                <c:pt idx="0">
                  <c:v>38.1</c:v>
                </c:pt>
                <c:pt idx="1">
                  <c:v>19.05</c:v>
                </c:pt>
                <c:pt idx="2">
                  <c:v>9.5299999999999994</c:v>
                </c:pt>
                <c:pt idx="3">
                  <c:v>4.76</c:v>
                </c:pt>
                <c:pt idx="4">
                  <c:v>2.38</c:v>
                </c:pt>
                <c:pt idx="5">
                  <c:v>1.19</c:v>
                </c:pt>
              </c:numCache>
            </c:numRef>
          </c:xVal>
          <c:yVal>
            <c:numRef>
              <c:f>Sheet2!$F$79:$F$84</c:f>
              <c:numCache>
                <c:formatCode>0%</c:formatCode>
                <c:ptCount val="6"/>
                <c:pt idx="0">
                  <c:v>0.64870985502841383</c:v>
                </c:pt>
                <c:pt idx="1">
                  <c:v>0.8439792819434514</c:v>
                </c:pt>
                <c:pt idx="2">
                  <c:v>0.80621541696459043</c:v>
                </c:pt>
                <c:pt idx="3">
                  <c:v>0.8845459143125497</c:v>
                </c:pt>
                <c:pt idx="4">
                  <c:v>0.74663231927133034</c:v>
                </c:pt>
                <c:pt idx="5">
                  <c:v>0.88244072458388245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96-48A3-83C1-75129E581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10856"/>
        <c:axId val="64912904"/>
      </c:scatterChart>
      <c:valAx>
        <c:axId val="64910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2904"/>
        <c:crosses val="autoZero"/>
        <c:crossBetween val="midCat"/>
      </c:valAx>
      <c:valAx>
        <c:axId val="64912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Viability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0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Regorafenib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Sheet2!$L$79:$L$84</c:f>
                <c:numCache>
                  <c:formatCode>General</c:formatCode>
                  <c:ptCount val="6"/>
                  <c:pt idx="0">
                    <c:v>1.7768823767293593E-2</c:v>
                  </c:pt>
                  <c:pt idx="1">
                    <c:v>4.4326880263853632E-2</c:v>
                  </c:pt>
                  <c:pt idx="2">
                    <c:v>8.5658600107100427E-2</c:v>
                  </c:pt>
                  <c:pt idx="3">
                    <c:v>3.9736697782584117E-2</c:v>
                  </c:pt>
                  <c:pt idx="4">
                    <c:v>7.0198749566290186E-2</c:v>
                  </c:pt>
                  <c:pt idx="5">
                    <c:v>8.0388994922321627E-2</c:v>
                  </c:pt>
                </c:numCache>
              </c:numRef>
            </c:plus>
            <c:minus>
              <c:numRef>
                <c:f>Sheet2!$L$79:$L$84</c:f>
                <c:numCache>
                  <c:formatCode>General</c:formatCode>
                  <c:ptCount val="6"/>
                  <c:pt idx="0">
                    <c:v>1.7768823767293593E-2</c:v>
                  </c:pt>
                  <c:pt idx="1">
                    <c:v>4.4326880263853632E-2</c:v>
                  </c:pt>
                  <c:pt idx="2">
                    <c:v>8.5658600107100427E-2</c:v>
                  </c:pt>
                  <c:pt idx="3">
                    <c:v>3.9736697782584117E-2</c:v>
                  </c:pt>
                  <c:pt idx="4">
                    <c:v>7.0198749566290186E-2</c:v>
                  </c:pt>
                  <c:pt idx="5">
                    <c:v>8.0388994922321627E-2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Sheet2!$J$79:$J$84</c:f>
              <c:numCache>
                <c:formatCode>General</c:formatCode>
                <c:ptCount val="6"/>
                <c:pt idx="0">
                  <c:v>20</c:v>
                </c:pt>
                <c:pt idx="1">
                  <c:v>10</c:v>
                </c:pt>
                <c:pt idx="2">
                  <c:v>5</c:v>
                </c:pt>
                <c:pt idx="3" formatCode="0.00">
                  <c:v>2.5</c:v>
                </c:pt>
                <c:pt idx="4" formatCode="0.00">
                  <c:v>1.25</c:v>
                </c:pt>
                <c:pt idx="5" formatCode="0.00">
                  <c:v>0.625</c:v>
                </c:pt>
              </c:numCache>
            </c:numRef>
          </c:xVal>
          <c:yVal>
            <c:numRef>
              <c:f>Sheet2!$K$79:$K$84</c:f>
              <c:numCache>
                <c:formatCode>0%</c:formatCode>
                <c:ptCount val="6"/>
                <c:pt idx="0">
                  <c:v>0.18387434447247877</c:v>
                </c:pt>
                <c:pt idx="1">
                  <c:v>0.25955417698664385</c:v>
                </c:pt>
                <c:pt idx="2">
                  <c:v>0.35109012394260419</c:v>
                </c:pt>
                <c:pt idx="3">
                  <c:v>0.5064208904629266</c:v>
                </c:pt>
                <c:pt idx="4">
                  <c:v>0.61191484765013149</c:v>
                </c:pt>
                <c:pt idx="5">
                  <c:v>0.72822645566332045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FD-4CFC-A3FF-49032079F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1567752"/>
        <c:axId val="1323435528"/>
      </c:scatterChart>
      <c:valAx>
        <c:axId val="1121567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 [uM]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435528"/>
        <c:crosses val="autoZero"/>
        <c:crossBetween val="midCat"/>
      </c:valAx>
      <c:valAx>
        <c:axId val="1323435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Viability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567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101600</xdr:colOff>
      <xdr:row>82</xdr:row>
      <xdr:rowOff>6350</xdr:rowOff>
    </xdr:from>
    <xdr:to>
      <xdr:col>7</xdr:col>
      <xdr:colOff>381000</xdr:colOff>
      <xdr:row>98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6A8CDA-E57D-5552-B143-CC2F30B02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133350</xdr:colOff>
      <xdr:row>81</xdr:row>
      <xdr:rowOff>123825</xdr:rowOff>
    </xdr:from>
    <xdr:to>
      <xdr:col>15</xdr:col>
      <xdr:colOff>438150</xdr:colOff>
      <xdr:row>98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918FBA-0AC6-9AD8-B191-DB0A5BB39070}"/>
            </a:ext>
            <a:ext uri="{147F2762-F138-4A5C-976F-8EAC2B608ADB}">
              <a16:predDERef xmlns:a16="http://schemas.microsoft.com/office/drawing/2014/main" pred="{CC6A8CDA-E57D-5552-B143-CC2F30B02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84</xdr:row>
      <xdr:rowOff>95250</xdr:rowOff>
    </xdr:from>
    <xdr:to>
      <xdr:col>9</xdr:col>
      <xdr:colOff>9525</xdr:colOff>
      <xdr:row>101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108858-E688-8CB4-616A-2C6AA0599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123825</xdr:colOff>
      <xdr:row>84</xdr:row>
      <xdr:rowOff>76200</xdr:rowOff>
    </xdr:from>
    <xdr:to>
      <xdr:col>16</xdr:col>
      <xdr:colOff>428625</xdr:colOff>
      <xdr:row>101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2B71A1-E3AF-774E-7B52-970A8AA79E44}"/>
            </a:ext>
            <a:ext uri="{147F2762-F138-4A5C-976F-8EAC2B608ADB}">
              <a16:predDERef xmlns:a16="http://schemas.microsoft.com/office/drawing/2014/main" pred="{12108858-E688-8CB4-616A-2C6AA0599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81"/>
  <sheetViews>
    <sheetView topLeftCell="A27" zoomScale="72" workbookViewId="0">
      <selection activeCell="T66" sqref="T66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  <col min="4" max="4" width="13.83203125" bestFit="1" customWidth="1"/>
    <col min="9" max="9" width="12.6640625" bestFit="1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46226</v>
      </c>
    </row>
    <row r="8" spans="1:2" x14ac:dyDescent="0.15">
      <c r="A8" t="s">
        <v>9</v>
      </c>
      <c r="B8" s="2">
        <v>0.5115277777777778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>
        <v>18022119</v>
      </c>
    </row>
    <row r="11" spans="1:2" x14ac:dyDescent="0.15">
      <c r="A11" t="s">
        <v>13</v>
      </c>
      <c r="B11" t="s">
        <v>14</v>
      </c>
    </row>
    <row r="13" spans="1:2" ht="14" x14ac:dyDescent="0.15">
      <c r="A13" s="3" t="s">
        <v>15</v>
      </c>
      <c r="B13" s="4"/>
    </row>
    <row r="14" spans="1:2" x14ac:dyDescent="0.15">
      <c r="A14" t="s">
        <v>16</v>
      </c>
      <c r="B14" t="s">
        <v>17</v>
      </c>
    </row>
    <row r="15" spans="1:2" x14ac:dyDescent="0.15">
      <c r="A15" t="s">
        <v>18</v>
      </c>
    </row>
    <row r="16" spans="1:2" x14ac:dyDescent="0.15">
      <c r="A16" t="s">
        <v>19</v>
      </c>
      <c r="B16" t="s">
        <v>20</v>
      </c>
    </row>
    <row r="17" spans="1:15" x14ac:dyDescent="0.15">
      <c r="B17" t="s">
        <v>21</v>
      </c>
    </row>
    <row r="18" spans="1:15" x14ac:dyDescent="0.15">
      <c r="B18" t="s">
        <v>22</v>
      </c>
    </row>
    <row r="19" spans="1:15" x14ac:dyDescent="0.15">
      <c r="B19" t="s">
        <v>23</v>
      </c>
    </row>
    <row r="20" spans="1:15" x14ac:dyDescent="0.15">
      <c r="B20" t="s">
        <v>24</v>
      </c>
    </row>
    <row r="21" spans="1:15" x14ac:dyDescent="0.15">
      <c r="B21" t="s">
        <v>25</v>
      </c>
    </row>
    <row r="22" spans="1:15" x14ac:dyDescent="0.15">
      <c r="B22" t="s">
        <v>26</v>
      </c>
    </row>
    <row r="23" spans="1:15" x14ac:dyDescent="0.15">
      <c r="B23" t="s">
        <v>27</v>
      </c>
    </row>
    <row r="25" spans="1:15" ht="14" x14ac:dyDescent="0.15">
      <c r="A25" s="3" t="s">
        <v>28</v>
      </c>
      <c r="B25" s="4"/>
    </row>
    <row r="27" spans="1:15" x14ac:dyDescent="0.15">
      <c r="B27" s="5"/>
      <c r="C27" s="6">
        <v>1</v>
      </c>
      <c r="D27" s="6">
        <v>2</v>
      </c>
      <c r="E27" s="6">
        <v>3</v>
      </c>
      <c r="F27" s="6">
        <v>4</v>
      </c>
      <c r="G27" s="6">
        <v>5</v>
      </c>
      <c r="H27" s="6">
        <v>6</v>
      </c>
      <c r="I27" s="6">
        <v>7</v>
      </c>
      <c r="J27" s="6">
        <v>8</v>
      </c>
      <c r="K27" s="6">
        <v>9</v>
      </c>
      <c r="L27" s="6">
        <v>10</v>
      </c>
      <c r="M27" s="6">
        <v>11</v>
      </c>
      <c r="N27" s="6">
        <v>12</v>
      </c>
    </row>
    <row r="28" spans="1:15" ht="14" x14ac:dyDescent="0.15">
      <c r="B28" s="6" t="s">
        <v>29</v>
      </c>
      <c r="C28" s="7"/>
      <c r="D28" s="8" t="s">
        <v>30</v>
      </c>
      <c r="E28" s="8" t="s">
        <v>31</v>
      </c>
      <c r="F28" s="8" t="s">
        <v>32</v>
      </c>
      <c r="G28" s="8" t="s">
        <v>33</v>
      </c>
      <c r="H28" s="8" t="s">
        <v>34</v>
      </c>
      <c r="I28" s="8" t="s">
        <v>35</v>
      </c>
      <c r="J28" s="8" t="s">
        <v>36</v>
      </c>
      <c r="K28" s="8" t="s">
        <v>37</v>
      </c>
      <c r="L28" s="7"/>
      <c r="M28" s="7"/>
      <c r="N28" s="7"/>
      <c r="O28" s="9" t="s">
        <v>38</v>
      </c>
    </row>
    <row r="29" spans="1:15" ht="14" x14ac:dyDescent="0.15">
      <c r="B29" s="6" t="s">
        <v>39</v>
      </c>
      <c r="C29" s="7"/>
      <c r="D29" s="8" t="s">
        <v>40</v>
      </c>
      <c r="E29" s="8" t="s">
        <v>41</v>
      </c>
      <c r="F29" s="8" t="s">
        <v>42</v>
      </c>
      <c r="G29" s="8" t="s">
        <v>43</v>
      </c>
      <c r="H29" s="8" t="s">
        <v>44</v>
      </c>
      <c r="I29" s="8" t="s">
        <v>45</v>
      </c>
      <c r="J29" s="8" t="s">
        <v>46</v>
      </c>
      <c r="K29" s="8" t="s">
        <v>47</v>
      </c>
      <c r="L29" s="7"/>
      <c r="M29" s="7"/>
      <c r="N29" s="7"/>
      <c r="O29" s="9" t="s">
        <v>38</v>
      </c>
    </row>
    <row r="30" spans="1:15" ht="14" x14ac:dyDescent="0.15">
      <c r="B30" s="6" t="s">
        <v>48</v>
      </c>
      <c r="C30" s="7"/>
      <c r="D30" s="8" t="s">
        <v>49</v>
      </c>
      <c r="E30" s="8" t="s">
        <v>50</v>
      </c>
      <c r="F30" s="8" t="s">
        <v>51</v>
      </c>
      <c r="G30" s="8" t="s">
        <v>52</v>
      </c>
      <c r="H30" s="8" t="s">
        <v>53</v>
      </c>
      <c r="I30" s="8" t="s">
        <v>54</v>
      </c>
      <c r="J30" s="8" t="s">
        <v>55</v>
      </c>
      <c r="K30" s="8" t="s">
        <v>56</v>
      </c>
      <c r="L30" s="7"/>
      <c r="M30" s="7"/>
      <c r="N30" s="7"/>
      <c r="O30" s="9" t="s">
        <v>38</v>
      </c>
    </row>
    <row r="31" spans="1:15" ht="14" x14ac:dyDescent="0.15">
      <c r="B31" s="6" t="s">
        <v>57</v>
      </c>
      <c r="C31" s="7"/>
      <c r="D31" s="8" t="s">
        <v>58</v>
      </c>
      <c r="E31" s="8" t="s">
        <v>59</v>
      </c>
      <c r="F31" s="8" t="s">
        <v>60</v>
      </c>
      <c r="G31" s="8" t="s">
        <v>61</v>
      </c>
      <c r="H31" s="8" t="s">
        <v>62</v>
      </c>
      <c r="I31" s="8" t="s">
        <v>63</v>
      </c>
      <c r="J31" s="8" t="s">
        <v>64</v>
      </c>
      <c r="K31" s="8" t="s">
        <v>65</v>
      </c>
      <c r="L31" s="7"/>
      <c r="M31" s="7"/>
      <c r="N31" s="7"/>
      <c r="O31" s="9" t="s">
        <v>38</v>
      </c>
    </row>
    <row r="32" spans="1:15" ht="14" x14ac:dyDescent="0.15">
      <c r="B32" s="6" t="s">
        <v>66</v>
      </c>
      <c r="C32" s="7"/>
      <c r="D32" s="8" t="s">
        <v>67</v>
      </c>
      <c r="E32" s="8" t="s">
        <v>68</v>
      </c>
      <c r="F32" s="8" t="s">
        <v>69</v>
      </c>
      <c r="G32" s="8" t="s">
        <v>70</v>
      </c>
      <c r="H32" s="8" t="s">
        <v>71</v>
      </c>
      <c r="I32" s="8" t="s">
        <v>72</v>
      </c>
      <c r="J32" s="8" t="s">
        <v>73</v>
      </c>
      <c r="K32" s="8" t="s">
        <v>74</v>
      </c>
      <c r="L32" s="7"/>
      <c r="M32" s="7"/>
      <c r="N32" s="7"/>
      <c r="O32" s="9" t="s">
        <v>38</v>
      </c>
    </row>
    <row r="33" spans="1:29" ht="14" x14ac:dyDescent="0.15">
      <c r="B33" s="6" t="s">
        <v>75</v>
      </c>
      <c r="C33" s="7"/>
      <c r="D33" s="8" t="s">
        <v>76</v>
      </c>
      <c r="E33" s="8" t="s">
        <v>77</v>
      </c>
      <c r="F33" s="8" t="s">
        <v>78</v>
      </c>
      <c r="G33" s="8" t="s">
        <v>79</v>
      </c>
      <c r="H33" s="8" t="s">
        <v>80</v>
      </c>
      <c r="I33" s="8" t="s">
        <v>81</v>
      </c>
      <c r="J33" s="8" t="s">
        <v>82</v>
      </c>
      <c r="K33" s="8" t="s">
        <v>83</v>
      </c>
      <c r="L33" s="7"/>
      <c r="M33" s="7"/>
      <c r="N33" s="7"/>
      <c r="O33" s="9" t="s">
        <v>38</v>
      </c>
    </row>
    <row r="34" spans="1:29" ht="14" x14ac:dyDescent="0.15">
      <c r="B34" s="6" t="s">
        <v>84</v>
      </c>
      <c r="C34" s="7"/>
      <c r="D34" s="8" t="s">
        <v>85</v>
      </c>
      <c r="E34" s="8" t="s">
        <v>86</v>
      </c>
      <c r="F34" s="8" t="s">
        <v>87</v>
      </c>
      <c r="G34" s="8" t="s">
        <v>88</v>
      </c>
      <c r="H34" s="8" t="s">
        <v>89</v>
      </c>
      <c r="I34" s="8" t="s">
        <v>90</v>
      </c>
      <c r="J34" s="8" t="s">
        <v>91</v>
      </c>
      <c r="K34" s="8" t="s">
        <v>92</v>
      </c>
      <c r="L34" s="7"/>
      <c r="M34" s="7"/>
      <c r="N34" s="7"/>
      <c r="O34" s="9" t="s">
        <v>38</v>
      </c>
    </row>
    <row r="35" spans="1:29" ht="14" x14ac:dyDescent="0.15">
      <c r="B35" s="6" t="s">
        <v>93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9" t="s">
        <v>38</v>
      </c>
    </row>
    <row r="37" spans="1:29" ht="14" x14ac:dyDescent="0.15">
      <c r="A37" s="3" t="s">
        <v>94</v>
      </c>
      <c r="B37" s="4"/>
    </row>
    <row r="38" spans="1:29" x14ac:dyDescent="0.15">
      <c r="A38" t="s">
        <v>95</v>
      </c>
      <c r="B38">
        <v>26</v>
      </c>
    </row>
    <row r="40" spans="1:29" x14ac:dyDescent="0.15">
      <c r="B40" s="5"/>
      <c r="C40" s="6">
        <v>1</v>
      </c>
      <c r="D40" s="6">
        <v>2</v>
      </c>
      <c r="E40" s="6">
        <v>3</v>
      </c>
      <c r="F40" s="6">
        <v>4</v>
      </c>
      <c r="G40" s="6">
        <v>5</v>
      </c>
      <c r="H40" s="6">
        <v>6</v>
      </c>
      <c r="I40" s="6">
        <v>7</v>
      </c>
      <c r="J40" s="6">
        <v>8</v>
      </c>
      <c r="K40" s="6">
        <v>9</v>
      </c>
      <c r="L40" s="6">
        <v>10</v>
      </c>
      <c r="M40" s="6">
        <v>11</v>
      </c>
      <c r="N40" s="6">
        <v>12</v>
      </c>
      <c r="Q40" s="5"/>
      <c r="R40" s="6">
        <v>1</v>
      </c>
      <c r="S40" s="41">
        <v>2</v>
      </c>
      <c r="T40" s="41">
        <v>3</v>
      </c>
      <c r="U40" s="41">
        <v>4</v>
      </c>
      <c r="V40" s="41">
        <v>5</v>
      </c>
      <c r="W40" s="6">
        <v>6</v>
      </c>
      <c r="X40" s="6">
        <v>7</v>
      </c>
      <c r="Y40" s="6">
        <v>8</v>
      </c>
      <c r="Z40" s="6">
        <v>9</v>
      </c>
      <c r="AA40" s="6">
        <v>10</v>
      </c>
      <c r="AB40" s="6">
        <v>11</v>
      </c>
      <c r="AC40" s="6">
        <v>12</v>
      </c>
    </row>
    <row r="41" spans="1:29" ht="14" x14ac:dyDescent="0.15">
      <c r="B41" s="6" t="s">
        <v>29</v>
      </c>
      <c r="C41" s="7"/>
      <c r="D41" s="10">
        <v>155231</v>
      </c>
      <c r="E41" s="11">
        <v>147055</v>
      </c>
      <c r="F41" s="10">
        <v>149045</v>
      </c>
      <c r="G41" s="12">
        <v>163712</v>
      </c>
      <c r="H41" s="11">
        <v>142666</v>
      </c>
      <c r="I41" s="11">
        <v>141296</v>
      </c>
      <c r="J41" s="11">
        <v>141316</v>
      </c>
      <c r="K41" s="11">
        <v>145373</v>
      </c>
      <c r="L41" s="7"/>
      <c r="M41" s="7"/>
      <c r="N41" s="7"/>
      <c r="O41" s="13">
        <v>560590</v>
      </c>
      <c r="Q41" s="6" t="s">
        <v>29</v>
      </c>
      <c r="R41" s="40"/>
      <c r="S41" s="72" t="s">
        <v>131</v>
      </c>
      <c r="T41" s="73"/>
      <c r="U41" s="73"/>
      <c r="V41" s="74"/>
      <c r="W41" s="62">
        <v>80</v>
      </c>
      <c r="X41" s="60"/>
      <c r="Y41" s="60"/>
      <c r="Z41" s="61"/>
      <c r="AA41" s="7"/>
      <c r="AB41" s="7"/>
      <c r="AC41" s="7"/>
    </row>
    <row r="42" spans="1:29" ht="14" x14ac:dyDescent="0.15">
      <c r="B42" s="6" t="s">
        <v>39</v>
      </c>
      <c r="C42" s="7"/>
      <c r="D42" s="11">
        <v>145987</v>
      </c>
      <c r="E42" s="11">
        <v>145681</v>
      </c>
      <c r="F42" s="11">
        <v>144912</v>
      </c>
      <c r="G42" s="10">
        <v>151925</v>
      </c>
      <c r="H42" s="10">
        <v>157236</v>
      </c>
      <c r="I42" s="10">
        <v>154255</v>
      </c>
      <c r="J42" s="10">
        <v>147362</v>
      </c>
      <c r="K42" s="10">
        <v>155301</v>
      </c>
      <c r="L42" s="7"/>
      <c r="M42" s="7"/>
      <c r="N42" s="7"/>
      <c r="O42" s="13">
        <v>560590</v>
      </c>
      <c r="Q42" s="6" t="s">
        <v>39</v>
      </c>
      <c r="R42" s="7"/>
      <c r="S42" s="63">
        <v>40</v>
      </c>
      <c r="T42" s="64"/>
      <c r="U42" s="64"/>
      <c r="V42" s="65"/>
      <c r="W42" s="59">
        <v>20</v>
      </c>
      <c r="X42" s="60"/>
      <c r="Y42" s="60"/>
      <c r="Z42" s="61"/>
      <c r="AA42" s="7"/>
      <c r="AB42" s="7"/>
      <c r="AC42" s="7"/>
    </row>
    <row r="43" spans="1:29" ht="14" x14ac:dyDescent="0.15">
      <c r="B43" s="6" t="s">
        <v>48</v>
      </c>
      <c r="C43" s="7"/>
      <c r="D43" s="10">
        <v>147907</v>
      </c>
      <c r="E43" s="10">
        <v>152703</v>
      </c>
      <c r="F43" s="10">
        <v>149229</v>
      </c>
      <c r="G43" s="10">
        <v>155010</v>
      </c>
      <c r="H43" s="10">
        <v>153944</v>
      </c>
      <c r="I43" s="12">
        <v>162571</v>
      </c>
      <c r="J43" s="10">
        <v>147481</v>
      </c>
      <c r="K43" s="10">
        <v>150225</v>
      </c>
      <c r="L43" s="7"/>
      <c r="M43" s="7"/>
      <c r="N43" s="7"/>
      <c r="O43" s="13">
        <v>560590</v>
      </c>
      <c r="Q43" s="6" t="s">
        <v>48</v>
      </c>
      <c r="R43" s="7"/>
      <c r="S43" s="59">
        <v>10</v>
      </c>
      <c r="T43" s="60"/>
      <c r="U43" s="60"/>
      <c r="V43" s="61"/>
      <c r="W43" s="59">
        <v>5</v>
      </c>
      <c r="X43" s="60"/>
      <c r="Y43" s="60"/>
      <c r="Z43" s="61"/>
      <c r="AA43" s="7"/>
      <c r="AB43" s="7"/>
      <c r="AC43" s="7"/>
    </row>
    <row r="44" spans="1:29" ht="14" x14ac:dyDescent="0.15">
      <c r="B44" s="6" t="s">
        <v>57</v>
      </c>
      <c r="C44" s="7"/>
      <c r="D44" s="11">
        <v>141202</v>
      </c>
      <c r="E44" s="11">
        <v>146595</v>
      </c>
      <c r="F44" s="14">
        <v>127303</v>
      </c>
      <c r="G44" s="10">
        <v>147834</v>
      </c>
      <c r="H44" s="12">
        <v>159805</v>
      </c>
      <c r="I44" s="11">
        <v>138892</v>
      </c>
      <c r="J44" s="10">
        <v>148804</v>
      </c>
      <c r="K44" s="11">
        <v>139965</v>
      </c>
      <c r="L44" s="7"/>
      <c r="M44" s="7"/>
      <c r="N44" s="7"/>
      <c r="O44" s="13">
        <v>560590</v>
      </c>
      <c r="Q44" s="6" t="s">
        <v>57</v>
      </c>
      <c r="R44" s="7"/>
      <c r="S44" s="46">
        <v>200</v>
      </c>
      <c r="T44" s="47"/>
      <c r="U44" s="47"/>
      <c r="V44" s="48"/>
      <c r="W44" s="46">
        <v>100</v>
      </c>
      <c r="X44" s="47"/>
      <c r="Y44" s="47"/>
      <c r="Z44" s="48"/>
      <c r="AA44" s="7"/>
      <c r="AB44" s="7"/>
      <c r="AC44" s="7"/>
    </row>
    <row r="45" spans="1:29" ht="14" x14ac:dyDescent="0.15">
      <c r="B45" s="6" t="s">
        <v>66</v>
      </c>
      <c r="C45" s="7"/>
      <c r="D45" s="14">
        <v>131326</v>
      </c>
      <c r="E45" s="10">
        <v>155921</v>
      </c>
      <c r="F45" s="12">
        <v>161493</v>
      </c>
      <c r="G45" s="12">
        <v>171834</v>
      </c>
      <c r="H45" s="11">
        <v>146184</v>
      </c>
      <c r="I45" s="12">
        <v>159897</v>
      </c>
      <c r="J45" s="11">
        <v>143062</v>
      </c>
      <c r="K45" s="11">
        <v>146259</v>
      </c>
      <c r="L45" s="7"/>
      <c r="M45" s="7"/>
      <c r="N45" s="7"/>
      <c r="O45" s="13">
        <v>560590</v>
      </c>
      <c r="Q45" s="6" t="s">
        <v>66</v>
      </c>
      <c r="R45" s="7"/>
      <c r="S45" s="46">
        <v>50</v>
      </c>
      <c r="T45" s="47"/>
      <c r="U45" s="47"/>
      <c r="V45" s="48"/>
      <c r="W45" s="46">
        <v>25</v>
      </c>
      <c r="X45" s="47"/>
      <c r="Y45" s="47"/>
      <c r="Z45" s="48"/>
      <c r="AA45" s="7"/>
      <c r="AB45" s="7"/>
      <c r="AC45" s="7"/>
    </row>
    <row r="46" spans="1:29" ht="14" x14ac:dyDescent="0.15">
      <c r="B46" s="6" t="s">
        <v>75</v>
      </c>
      <c r="C46" s="7"/>
      <c r="D46" s="14">
        <v>133816</v>
      </c>
      <c r="E46" s="10">
        <v>151317</v>
      </c>
      <c r="F46" s="10">
        <v>149575</v>
      </c>
      <c r="G46" s="12">
        <v>165012</v>
      </c>
      <c r="H46" s="10">
        <v>154050</v>
      </c>
      <c r="I46" s="11">
        <v>139528</v>
      </c>
      <c r="J46" s="14">
        <v>130010</v>
      </c>
      <c r="K46" s="11">
        <v>142166</v>
      </c>
      <c r="L46" s="7"/>
      <c r="M46" s="7"/>
      <c r="N46" s="7"/>
      <c r="O46" s="13">
        <v>560590</v>
      </c>
      <c r="Q46" s="6" t="s">
        <v>75</v>
      </c>
      <c r="R46" s="7"/>
      <c r="S46" s="46">
        <v>12.5</v>
      </c>
      <c r="T46" s="47"/>
      <c r="U46" s="47"/>
      <c r="V46" s="48"/>
      <c r="W46" s="46">
        <v>6.25</v>
      </c>
      <c r="X46" s="47"/>
      <c r="Y46" s="47"/>
      <c r="Z46" s="48"/>
      <c r="AA46" s="7"/>
      <c r="AB46" s="7"/>
      <c r="AC46" s="7"/>
    </row>
    <row r="47" spans="1:29" ht="14" customHeight="1" x14ac:dyDescent="0.15">
      <c r="B47" s="6" t="s">
        <v>84</v>
      </c>
      <c r="C47" s="7"/>
      <c r="D47" s="11">
        <v>139174</v>
      </c>
      <c r="E47" s="11">
        <v>142777</v>
      </c>
      <c r="F47" s="14">
        <v>130310</v>
      </c>
      <c r="G47" s="15">
        <v>115041</v>
      </c>
      <c r="H47" s="16">
        <v>75842</v>
      </c>
      <c r="I47" s="16">
        <v>76681</v>
      </c>
      <c r="J47" s="16">
        <v>77037</v>
      </c>
      <c r="K47" s="16">
        <v>77195</v>
      </c>
      <c r="L47" s="7"/>
      <c r="M47" s="7"/>
      <c r="N47" s="7"/>
      <c r="O47" s="13">
        <v>560590</v>
      </c>
      <c r="Q47" s="6" t="s">
        <v>84</v>
      </c>
      <c r="R47" s="7"/>
      <c r="S47" s="66" t="s">
        <v>98</v>
      </c>
      <c r="T47" s="67"/>
      <c r="U47" s="67"/>
      <c r="V47" s="68"/>
      <c r="W47" s="69" t="s">
        <v>96</v>
      </c>
      <c r="X47" s="70"/>
      <c r="Y47" s="70"/>
      <c r="Z47" s="71"/>
      <c r="AA47" s="7"/>
      <c r="AB47" s="7"/>
      <c r="AC47" s="7"/>
    </row>
    <row r="48" spans="1:29" ht="14" x14ac:dyDescent="0.15">
      <c r="B48" s="6" t="s">
        <v>93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13">
        <v>560590</v>
      </c>
      <c r="Q48" s="6" t="s">
        <v>93</v>
      </c>
      <c r="R48" s="40"/>
      <c r="S48" s="45"/>
      <c r="T48" s="45"/>
      <c r="U48" s="45"/>
      <c r="V48" s="45"/>
      <c r="W48" s="45"/>
      <c r="X48" s="45"/>
      <c r="Y48" s="45"/>
      <c r="Z48" s="45"/>
      <c r="AA48" s="44"/>
      <c r="AB48" s="7"/>
      <c r="AC48" s="7"/>
    </row>
    <row r="51" spans="4:20" x14ac:dyDescent="0.15">
      <c r="D51" s="17" t="s">
        <v>96</v>
      </c>
      <c r="E51">
        <f>AVERAGE(H47:K47)</f>
        <v>76688.75</v>
      </c>
      <c r="F51" s="19">
        <f>_xlfn.STDEV.P(H47:K47)/E51</f>
        <v>6.8213227184755728E-3</v>
      </c>
      <c r="S51" s="42"/>
      <c r="T51" s="17" t="s">
        <v>99</v>
      </c>
    </row>
    <row r="52" spans="4:20" x14ac:dyDescent="0.15">
      <c r="S52" s="43"/>
      <c r="T52" s="17" t="s">
        <v>100</v>
      </c>
    </row>
    <row r="53" spans="4:20" x14ac:dyDescent="0.15">
      <c r="D53" s="17" t="s">
        <v>97</v>
      </c>
      <c r="E53">
        <f>AVERAGE(D57:G57)</f>
        <v>77072</v>
      </c>
      <c r="F53" s="19">
        <f>_xlfn.STDEV.P(D57:G57)/E53</f>
        <v>8.4185479220013112E-2</v>
      </c>
    </row>
    <row r="55" spans="4:20" x14ac:dyDescent="0.15">
      <c r="D55" s="17" t="s">
        <v>98</v>
      </c>
      <c r="E55">
        <f>AVERAGE(D63:F63)</f>
        <v>60731.583333333336</v>
      </c>
      <c r="F55" s="19">
        <f>_xlfn.STDEV.P(D63:F63)/E55</f>
        <v>8.6256820731181891E-2</v>
      </c>
    </row>
    <row r="57" spans="4:20" x14ac:dyDescent="0.15">
      <c r="D57">
        <f>D41-$E$51</f>
        <v>78542.25</v>
      </c>
      <c r="E57">
        <f t="shared" ref="E57:K57" si="0">E41-$E$51</f>
        <v>70366.25</v>
      </c>
      <c r="F57">
        <f t="shared" si="0"/>
        <v>72356.25</v>
      </c>
      <c r="G57">
        <f t="shared" si="0"/>
        <v>87023.25</v>
      </c>
      <c r="H57">
        <f t="shared" si="0"/>
        <v>65977.25</v>
      </c>
      <c r="I57">
        <f t="shared" si="0"/>
        <v>64607.25</v>
      </c>
      <c r="J57">
        <f t="shared" si="0"/>
        <v>64627.25</v>
      </c>
      <c r="K57">
        <f t="shared" si="0"/>
        <v>68684.25</v>
      </c>
    </row>
    <row r="58" spans="4:20" x14ac:dyDescent="0.15">
      <c r="D58">
        <f t="shared" ref="D58:K58" si="1">D42-$E$51</f>
        <v>69298.25</v>
      </c>
      <c r="E58">
        <f t="shared" si="1"/>
        <v>68992.25</v>
      </c>
      <c r="F58">
        <f t="shared" si="1"/>
        <v>68223.25</v>
      </c>
      <c r="G58">
        <f t="shared" si="1"/>
        <v>75236.25</v>
      </c>
      <c r="H58">
        <f t="shared" si="1"/>
        <v>80547.25</v>
      </c>
      <c r="I58">
        <f t="shared" si="1"/>
        <v>77566.25</v>
      </c>
      <c r="J58">
        <f t="shared" si="1"/>
        <v>70673.25</v>
      </c>
      <c r="K58">
        <f t="shared" si="1"/>
        <v>78612.25</v>
      </c>
    </row>
    <row r="59" spans="4:20" x14ac:dyDescent="0.15">
      <c r="D59">
        <f t="shared" ref="D59:K59" si="2">D43-$E$51</f>
        <v>71218.25</v>
      </c>
      <c r="E59">
        <f t="shared" si="2"/>
        <v>76014.25</v>
      </c>
      <c r="F59">
        <f t="shared" si="2"/>
        <v>72540.25</v>
      </c>
      <c r="G59">
        <f t="shared" si="2"/>
        <v>78321.25</v>
      </c>
      <c r="H59">
        <f t="shared" si="2"/>
        <v>77255.25</v>
      </c>
      <c r="I59">
        <f t="shared" si="2"/>
        <v>85882.25</v>
      </c>
      <c r="J59">
        <f t="shared" si="2"/>
        <v>70792.25</v>
      </c>
      <c r="K59">
        <f t="shared" si="2"/>
        <v>73536.25</v>
      </c>
    </row>
    <row r="60" spans="4:20" x14ac:dyDescent="0.15">
      <c r="D60">
        <f t="shared" ref="D60:K60" si="3">D44-$E$51</f>
        <v>64513.25</v>
      </c>
      <c r="E60">
        <f t="shared" si="3"/>
        <v>69906.25</v>
      </c>
      <c r="F60">
        <f t="shared" si="3"/>
        <v>50614.25</v>
      </c>
      <c r="G60">
        <f t="shared" si="3"/>
        <v>71145.25</v>
      </c>
      <c r="H60">
        <f t="shared" si="3"/>
        <v>83116.25</v>
      </c>
      <c r="I60">
        <f t="shared" si="3"/>
        <v>62203.25</v>
      </c>
      <c r="J60">
        <f t="shared" si="3"/>
        <v>72115.25</v>
      </c>
      <c r="K60">
        <f t="shared" si="3"/>
        <v>63276.25</v>
      </c>
    </row>
    <row r="61" spans="4:20" x14ac:dyDescent="0.15">
      <c r="D61">
        <f t="shared" ref="D61:K61" si="4">D45-$E$51</f>
        <v>54637.25</v>
      </c>
      <c r="E61">
        <f t="shared" si="4"/>
        <v>79232.25</v>
      </c>
      <c r="F61">
        <f t="shared" si="4"/>
        <v>84804.25</v>
      </c>
      <c r="G61">
        <f t="shared" si="4"/>
        <v>95145.25</v>
      </c>
      <c r="H61">
        <f t="shared" si="4"/>
        <v>69495.25</v>
      </c>
      <c r="I61">
        <f t="shared" si="4"/>
        <v>83208.25</v>
      </c>
      <c r="J61">
        <f t="shared" si="4"/>
        <v>66373.25</v>
      </c>
      <c r="K61">
        <f t="shared" si="4"/>
        <v>69570.25</v>
      </c>
    </row>
    <row r="62" spans="4:20" x14ac:dyDescent="0.15">
      <c r="D62">
        <f t="shared" ref="D62:K62" si="5">D46-$E$51</f>
        <v>57127.25</v>
      </c>
      <c r="E62">
        <f t="shared" si="5"/>
        <v>74628.25</v>
      </c>
      <c r="F62">
        <f t="shared" si="5"/>
        <v>72886.25</v>
      </c>
      <c r="G62">
        <f t="shared" si="5"/>
        <v>88323.25</v>
      </c>
      <c r="H62">
        <f t="shared" si="5"/>
        <v>77361.25</v>
      </c>
      <c r="I62">
        <f t="shared" si="5"/>
        <v>62839.25</v>
      </c>
      <c r="J62">
        <f t="shared" si="5"/>
        <v>53321.25</v>
      </c>
      <c r="K62">
        <f t="shared" si="5"/>
        <v>65477.25</v>
      </c>
    </row>
    <row r="63" spans="4:20" x14ac:dyDescent="0.15">
      <c r="D63">
        <f>D47-$E$51</f>
        <v>62485.25</v>
      </c>
      <c r="E63">
        <f t="shared" ref="E63:G63" si="6">E47-$E$51</f>
        <v>66088.25</v>
      </c>
      <c r="F63">
        <f t="shared" si="6"/>
        <v>53621.25</v>
      </c>
      <c r="G63">
        <f t="shared" si="6"/>
        <v>38352.25</v>
      </c>
    </row>
    <row r="66" spans="4:11" x14ac:dyDescent="0.15">
      <c r="D66" s="18"/>
      <c r="E66" s="18"/>
      <c r="F66" s="18"/>
      <c r="G66" s="18"/>
      <c r="H66" s="18">
        <f>H57/$E$53</f>
        <v>0.85604694311812335</v>
      </c>
      <c r="I66" s="18">
        <f t="shared" ref="I66:K66" si="7">I57/$E$53</f>
        <v>0.83827135665351882</v>
      </c>
      <c r="J66" s="18">
        <f t="shared" si="7"/>
        <v>0.83853085426614071</v>
      </c>
      <c r="K66" s="18">
        <f t="shared" si="7"/>
        <v>0.89116994498650615</v>
      </c>
    </row>
    <row r="67" spans="4:11" x14ac:dyDescent="0.15">
      <c r="D67" s="18">
        <f t="shared" ref="D67:K67" si="8">D58/$E$53</f>
        <v>0.89913652169400038</v>
      </c>
      <c r="E67" s="18">
        <f t="shared" si="8"/>
        <v>0.89516620822088433</v>
      </c>
      <c r="F67" s="18">
        <f t="shared" si="8"/>
        <v>0.88518852501556988</v>
      </c>
      <c r="G67" s="18">
        <f t="shared" si="8"/>
        <v>0.97618136288146151</v>
      </c>
      <c r="H67" s="18">
        <f t="shared" si="8"/>
        <v>1.045090953913224</v>
      </c>
      <c r="I67" s="18">
        <f t="shared" si="8"/>
        <v>1.0064128347519203</v>
      </c>
      <c r="J67" s="18">
        <f t="shared" si="8"/>
        <v>0.91697698256176041</v>
      </c>
      <c r="K67" s="18">
        <f t="shared" si="8"/>
        <v>1.0199845598920489</v>
      </c>
    </row>
    <row r="68" spans="4:11" x14ac:dyDescent="0.15">
      <c r="D68" s="18">
        <f t="shared" ref="D68:K68" si="9">D59/$E$53</f>
        <v>0.92404829250570897</v>
      </c>
      <c r="E68" s="18">
        <f t="shared" si="9"/>
        <v>0.98627582001245584</v>
      </c>
      <c r="F68" s="18">
        <f t="shared" si="9"/>
        <v>0.94120108470002073</v>
      </c>
      <c r="G68" s="18">
        <f t="shared" si="9"/>
        <v>1.0162088696283995</v>
      </c>
      <c r="H68" s="18">
        <f t="shared" si="9"/>
        <v>1.0023776468756487</v>
      </c>
      <c r="I68" s="18">
        <f t="shared" si="9"/>
        <v>1.1143119420801328</v>
      </c>
      <c r="J68" s="18">
        <f t="shared" si="9"/>
        <v>0.9185209933568611</v>
      </c>
      <c r="K68" s="18">
        <f t="shared" si="9"/>
        <v>0.95412406580859455</v>
      </c>
    </row>
    <row r="69" spans="4:11" x14ac:dyDescent="0.15">
      <c r="D69" s="18">
        <f t="shared" ref="D69:K69" si="10">D60/$E$53</f>
        <v>0.83705171787419552</v>
      </c>
      <c r="E69" s="18">
        <f t="shared" si="10"/>
        <v>0.9070252491177081</v>
      </c>
      <c r="F69" s="18">
        <f t="shared" si="10"/>
        <v>0.65671385198256171</v>
      </c>
      <c r="G69" s="18">
        <f t="shared" si="10"/>
        <v>0.9231011262196388</v>
      </c>
      <c r="H69" s="18">
        <f t="shared" si="10"/>
        <v>1.0784234222545153</v>
      </c>
      <c r="I69" s="18">
        <f t="shared" si="10"/>
        <v>0.8070797436163587</v>
      </c>
      <c r="J69" s="18">
        <f t="shared" si="10"/>
        <v>0.93568676043180399</v>
      </c>
      <c r="K69" s="18">
        <f t="shared" si="10"/>
        <v>0.82100179053352706</v>
      </c>
    </row>
    <row r="70" spans="4:11" x14ac:dyDescent="0.15">
      <c r="D70" s="18">
        <f t="shared" ref="D70:K70" si="11">D61/$E$53</f>
        <v>0.70891179676146976</v>
      </c>
      <c r="E70" s="18">
        <f t="shared" si="11"/>
        <v>1.0280289858833298</v>
      </c>
      <c r="F70" s="18">
        <f t="shared" si="11"/>
        <v>1.100325020759809</v>
      </c>
      <c r="G70" s="18">
        <f t="shared" si="11"/>
        <v>1.2344982613659954</v>
      </c>
      <c r="H70" s="18">
        <f t="shared" si="11"/>
        <v>0.90169257317832674</v>
      </c>
      <c r="I70" s="18">
        <f t="shared" si="11"/>
        <v>1.0796171112725763</v>
      </c>
      <c r="J70" s="18">
        <f t="shared" si="11"/>
        <v>0.8611849958480382</v>
      </c>
      <c r="K70" s="18">
        <f t="shared" si="11"/>
        <v>0.90266568922565915</v>
      </c>
    </row>
    <row r="71" spans="4:11" x14ac:dyDescent="0.15">
      <c r="D71" s="18">
        <f t="shared" ref="D71:J71" si="12">D62/$E$53</f>
        <v>0.7412192495329043</v>
      </c>
      <c r="E71" s="18">
        <f t="shared" si="12"/>
        <v>0.96829263545775379</v>
      </c>
      <c r="F71" s="18">
        <f t="shared" si="12"/>
        <v>0.94569039339838068</v>
      </c>
      <c r="G71" s="18">
        <f t="shared" si="12"/>
        <v>1.1459836257006435</v>
      </c>
      <c r="H71" s="18">
        <f t="shared" si="12"/>
        <v>1.0037529842225452</v>
      </c>
      <c r="I71" s="18">
        <f t="shared" si="12"/>
        <v>0.81533176769773719</v>
      </c>
      <c r="J71" s="18">
        <f t="shared" si="12"/>
        <v>0.69183685385094462</v>
      </c>
      <c r="K71" s="18">
        <f>K62/$E$53</f>
        <v>0.8495595028025742</v>
      </c>
    </row>
    <row r="74" spans="4:11" x14ac:dyDescent="0.15">
      <c r="D74" s="49" t="s">
        <v>99</v>
      </c>
      <c r="E74" s="49"/>
      <c r="F74" s="49"/>
      <c r="I74" s="49" t="s">
        <v>100</v>
      </c>
      <c r="J74" s="49"/>
      <c r="K74" s="49"/>
    </row>
    <row r="75" spans="4:11" x14ac:dyDescent="0.15">
      <c r="D75" s="33" t="s">
        <v>101</v>
      </c>
      <c r="E75" s="34" t="s">
        <v>102</v>
      </c>
      <c r="F75" s="34" t="s">
        <v>103</v>
      </c>
      <c r="I75" s="33" t="s">
        <v>101</v>
      </c>
      <c r="J75" s="34" t="s">
        <v>102</v>
      </c>
      <c r="K75" s="34" t="s">
        <v>103</v>
      </c>
    </row>
    <row r="76" spans="4:11" ht="14" x14ac:dyDescent="0.15">
      <c r="D76" s="35">
        <v>80</v>
      </c>
      <c r="E76" s="36">
        <f>AVERAGE(H66:K66)</f>
        <v>0.85600477475607228</v>
      </c>
      <c r="F76" s="37">
        <f>_xlfn.STDEV.P(H66:K66)</f>
        <v>2.1542997646535701E-2</v>
      </c>
      <c r="I76" s="35">
        <v>200</v>
      </c>
      <c r="J76" s="36">
        <f>AVERAGE(D69:G69)</f>
        <v>0.83097298629852601</v>
      </c>
      <c r="K76" s="37">
        <f>_xlfn.STDEV.P(D69:G69)</f>
        <v>0.10568199671107659</v>
      </c>
    </row>
    <row r="77" spans="4:11" ht="14" x14ac:dyDescent="0.15">
      <c r="D77" s="35">
        <v>40</v>
      </c>
      <c r="E77" s="36">
        <f>AVERAGE(D67:G67)</f>
        <v>0.91391815445297908</v>
      </c>
      <c r="F77" s="37">
        <f>_xlfn.STDEV.P(D67:G67)</f>
        <v>3.6305064680882265E-2</v>
      </c>
      <c r="I77" s="35">
        <v>100</v>
      </c>
      <c r="J77" s="36">
        <f>AVERAGE(H69:K69)</f>
        <v>0.91054792920905114</v>
      </c>
      <c r="K77" s="37">
        <f>_xlfn.STDEV.P(H69:K69)</f>
        <v>0.10901641892628393</v>
      </c>
    </row>
    <row r="78" spans="4:11" ht="14" x14ac:dyDescent="0.15">
      <c r="D78" s="35">
        <v>20</v>
      </c>
      <c r="E78" s="36">
        <f>AVERAGE(H67:K67)</f>
        <v>0.99711633277973832</v>
      </c>
      <c r="F78" s="37">
        <f>_xlfn.STDEV.P(H67:K67)</f>
        <v>4.8304400644351791E-2</v>
      </c>
      <c r="I78" s="35">
        <v>50</v>
      </c>
      <c r="J78" s="36">
        <f>AVERAGE(D70:G70)</f>
        <v>1.017941016192651</v>
      </c>
      <c r="K78" s="37">
        <f>_xlfn.STDEV.P(D70:G70)</f>
        <v>0.19318707917476935</v>
      </c>
    </row>
    <row r="79" spans="4:11" ht="14" x14ac:dyDescent="0.15">
      <c r="D79" s="35">
        <v>10</v>
      </c>
      <c r="E79" s="36">
        <f>AVERAGE(D68:G68)</f>
        <v>0.96693351671164618</v>
      </c>
      <c r="F79" s="37">
        <f>_xlfn.STDEV.P(D68:G68)</f>
        <v>3.641251712830882E-2</v>
      </c>
      <c r="I79" s="35">
        <v>25</v>
      </c>
      <c r="J79" s="36">
        <f>AVERAGE(H70:K70)</f>
        <v>0.93629009238115002</v>
      </c>
      <c r="K79" s="37">
        <f>_xlfn.STDEV.P(H70:K70)</f>
        <v>8.442600116685621E-2</v>
      </c>
    </row>
    <row r="80" spans="4:11" ht="14" x14ac:dyDescent="0.15">
      <c r="D80" s="35">
        <v>5</v>
      </c>
      <c r="E80" s="36">
        <f>AVERAGE(H68:K68)</f>
        <v>0.99733366203030926</v>
      </c>
      <c r="F80" s="37">
        <f>_xlfn.STDEV.P(H68:K68)</f>
        <v>7.380356653917429E-2</v>
      </c>
      <c r="I80" s="35">
        <v>12.5</v>
      </c>
      <c r="J80" s="36">
        <f>AVERAGE(D71:G71)</f>
        <v>0.95029647602242062</v>
      </c>
      <c r="K80" s="37">
        <f>_xlfn.STDEV.P(D71:G71)</f>
        <v>0.14348503836401966</v>
      </c>
    </row>
    <row r="81" spans="9:11" ht="14" x14ac:dyDescent="0.15">
      <c r="I81" s="35">
        <v>6.25</v>
      </c>
      <c r="J81" s="36">
        <f>AVERAGE(H71:K71)</f>
        <v>0.84012027714345039</v>
      </c>
      <c r="K81" s="37">
        <f>_xlfn.STDEV.P(H71:K71)</f>
        <v>0.11120612126920064</v>
      </c>
    </row>
  </sheetData>
  <mergeCells count="16">
    <mergeCell ref="S47:V47"/>
    <mergeCell ref="W47:Z47"/>
    <mergeCell ref="D74:F74"/>
    <mergeCell ref="I74:K74"/>
    <mergeCell ref="S41:V41"/>
    <mergeCell ref="W41:Z41"/>
    <mergeCell ref="S42:V42"/>
    <mergeCell ref="W42:Z42"/>
    <mergeCell ref="S43:V43"/>
    <mergeCell ref="W43:Z43"/>
    <mergeCell ref="S44:V44"/>
    <mergeCell ref="W44:Z44"/>
    <mergeCell ref="S45:V45"/>
    <mergeCell ref="W45:Z45"/>
    <mergeCell ref="S46:V46"/>
    <mergeCell ref="W46:Z46"/>
  </mergeCells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A449D-26DD-46AE-A8B2-D0E8102BC199}">
  <dimension ref="A1:AC84"/>
  <sheetViews>
    <sheetView tabSelected="1" zoomScaleNormal="100" workbookViewId="0">
      <selection activeCell="I54" sqref="I54"/>
    </sheetView>
  </sheetViews>
  <sheetFormatPr baseColWidth="10" defaultColWidth="8.83203125" defaultRowHeight="13" x14ac:dyDescent="0.15"/>
  <cols>
    <col min="1" max="1" width="20.83203125" bestFit="1" customWidth="1"/>
    <col min="2" max="2" width="61.33203125" bestFit="1" customWidth="1"/>
    <col min="5" max="5" width="12.6640625" bestFit="1" customWidth="1"/>
    <col min="10" max="10" width="12.6640625" bestFit="1" customWidth="1"/>
  </cols>
  <sheetData>
    <row r="1" spans="1:16" x14ac:dyDescent="0.1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15">
      <c r="A2" s="23" t="s">
        <v>0</v>
      </c>
      <c r="B2" s="23" t="s">
        <v>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6" x14ac:dyDescent="0.1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4" spans="1:16" x14ac:dyDescent="0.15">
      <c r="A4" s="23" t="s">
        <v>2</v>
      </c>
      <c r="B4" s="23" t="s">
        <v>109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 x14ac:dyDescent="0.15">
      <c r="A5" s="23" t="s">
        <v>4</v>
      </c>
      <c r="B5" s="23" t="s">
        <v>5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 x14ac:dyDescent="0.15">
      <c r="A6" s="23" t="s">
        <v>6</v>
      </c>
      <c r="B6" s="23" t="s">
        <v>110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 x14ac:dyDescent="0.15">
      <c r="A7" s="23" t="s">
        <v>8</v>
      </c>
      <c r="B7" s="24">
        <v>46226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 x14ac:dyDescent="0.15">
      <c r="A8" s="23" t="s">
        <v>9</v>
      </c>
      <c r="B8" s="25">
        <v>0.54851851851851852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 x14ac:dyDescent="0.15">
      <c r="A9" s="23" t="s">
        <v>10</v>
      </c>
      <c r="B9" s="23" t="s">
        <v>11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 x14ac:dyDescent="0.15">
      <c r="A10" s="23" t="s">
        <v>12</v>
      </c>
      <c r="B10" s="23">
        <v>18022119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 x14ac:dyDescent="0.15">
      <c r="A11" s="23" t="s">
        <v>13</v>
      </c>
      <c r="B11" s="23" t="s">
        <v>14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x14ac:dyDescent="0.1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6" ht="28" x14ac:dyDescent="0.15">
      <c r="A13" s="26" t="s">
        <v>15</v>
      </c>
      <c r="B13" s="27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 x14ac:dyDescent="0.15">
      <c r="A14" s="23" t="s">
        <v>16</v>
      </c>
      <c r="B14" s="23" t="s">
        <v>17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 x14ac:dyDescent="0.15">
      <c r="A15" s="23" t="s">
        <v>18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</row>
    <row r="16" spans="1:16" x14ac:dyDescent="0.15">
      <c r="A16" s="23" t="s">
        <v>19</v>
      </c>
      <c r="B16" s="23" t="s">
        <v>20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 x14ac:dyDescent="0.15">
      <c r="A17" s="23"/>
      <c r="B17" s="23" t="s">
        <v>21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spans="1:16" x14ac:dyDescent="0.15">
      <c r="A18" s="23"/>
      <c r="B18" s="23" t="s">
        <v>22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x14ac:dyDescent="0.15">
      <c r="A19" s="23"/>
      <c r="B19" s="23" t="s">
        <v>23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6" x14ac:dyDescent="0.15">
      <c r="A20" s="23"/>
      <c r="B20" s="23" t="s">
        <v>24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spans="1:16" x14ac:dyDescent="0.15">
      <c r="A21" s="23"/>
      <c r="B21" s="23" t="s">
        <v>25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 x14ac:dyDescent="0.15">
      <c r="A22" s="23"/>
      <c r="B22" s="23" t="s">
        <v>26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  <row r="23" spans="1:16" x14ac:dyDescent="0.15">
      <c r="A23" s="23"/>
      <c r="B23" s="23" t="s">
        <v>27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</row>
    <row r="24" spans="1:16" x14ac:dyDescent="0.1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</row>
    <row r="25" spans="1:16" ht="14" x14ac:dyDescent="0.15">
      <c r="A25" s="26" t="s">
        <v>28</v>
      </c>
      <c r="B25" s="27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16" x14ac:dyDescent="0.1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16" x14ac:dyDescent="0.15">
      <c r="A27" s="23"/>
      <c r="B27" s="28"/>
      <c r="C27" s="29">
        <v>1</v>
      </c>
      <c r="D27" s="29">
        <v>2</v>
      </c>
      <c r="E27" s="29">
        <v>3</v>
      </c>
      <c r="F27" s="29">
        <v>4</v>
      </c>
      <c r="G27" s="29">
        <v>5</v>
      </c>
      <c r="H27" s="29">
        <v>6</v>
      </c>
      <c r="I27" s="29">
        <v>7</v>
      </c>
      <c r="J27" s="29">
        <v>8</v>
      </c>
      <c r="K27" s="29">
        <v>9</v>
      </c>
      <c r="L27" s="29">
        <v>10</v>
      </c>
      <c r="M27" s="29">
        <v>11</v>
      </c>
      <c r="N27" s="29">
        <v>12</v>
      </c>
      <c r="O27" s="23"/>
      <c r="P27" s="23"/>
    </row>
    <row r="28" spans="1:16" ht="14" x14ac:dyDescent="0.15">
      <c r="A28" s="23"/>
      <c r="B28" s="29" t="s">
        <v>29</v>
      </c>
      <c r="C28" s="30"/>
      <c r="D28" s="31" t="s">
        <v>41</v>
      </c>
      <c r="E28" s="31" t="s">
        <v>51</v>
      </c>
      <c r="F28" s="31" t="s">
        <v>61</v>
      </c>
      <c r="G28" s="31" t="s">
        <v>71</v>
      </c>
      <c r="H28" s="31" t="s">
        <v>81</v>
      </c>
      <c r="I28" s="31" t="s">
        <v>91</v>
      </c>
      <c r="J28" s="31" t="s">
        <v>111</v>
      </c>
      <c r="K28" s="31" t="s">
        <v>112</v>
      </c>
      <c r="L28" s="30"/>
      <c r="M28" s="30"/>
      <c r="N28" s="30"/>
      <c r="O28" s="32" t="s">
        <v>38</v>
      </c>
      <c r="P28" s="23"/>
    </row>
    <row r="29" spans="1:16" ht="14" x14ac:dyDescent="0.15">
      <c r="A29" s="23"/>
      <c r="B29" s="29" t="s">
        <v>39</v>
      </c>
      <c r="C29" s="30"/>
      <c r="D29" s="31" t="s">
        <v>50</v>
      </c>
      <c r="E29" s="31" t="s">
        <v>60</v>
      </c>
      <c r="F29" s="31" t="s">
        <v>70</v>
      </c>
      <c r="G29" s="31" t="s">
        <v>80</v>
      </c>
      <c r="H29" s="31" t="s">
        <v>90</v>
      </c>
      <c r="I29" s="31" t="s">
        <v>37</v>
      </c>
      <c r="J29" s="31" t="s">
        <v>113</v>
      </c>
      <c r="K29" s="31" t="s">
        <v>114</v>
      </c>
      <c r="L29" s="30"/>
      <c r="M29" s="30"/>
      <c r="N29" s="30"/>
      <c r="O29" s="32" t="s">
        <v>38</v>
      </c>
      <c r="P29" s="23"/>
    </row>
    <row r="30" spans="1:16" ht="14" x14ac:dyDescent="0.15">
      <c r="A30" s="23"/>
      <c r="B30" s="29" t="s">
        <v>48</v>
      </c>
      <c r="C30" s="30"/>
      <c r="D30" s="31" t="s">
        <v>59</v>
      </c>
      <c r="E30" s="31" t="s">
        <v>69</v>
      </c>
      <c r="F30" s="31" t="s">
        <v>79</v>
      </c>
      <c r="G30" s="31" t="s">
        <v>89</v>
      </c>
      <c r="H30" s="31" t="s">
        <v>36</v>
      </c>
      <c r="I30" s="31" t="s">
        <v>47</v>
      </c>
      <c r="J30" s="31" t="s">
        <v>115</v>
      </c>
      <c r="K30" s="31" t="s">
        <v>116</v>
      </c>
      <c r="L30" s="30"/>
      <c r="M30" s="30"/>
      <c r="N30" s="30"/>
      <c r="O30" s="32" t="s">
        <v>38</v>
      </c>
      <c r="P30" s="23"/>
    </row>
    <row r="31" spans="1:16" ht="14" x14ac:dyDescent="0.15">
      <c r="A31" s="23"/>
      <c r="B31" s="29" t="s">
        <v>57</v>
      </c>
      <c r="C31" s="30"/>
      <c r="D31" s="31" t="s">
        <v>68</v>
      </c>
      <c r="E31" s="31" t="s">
        <v>78</v>
      </c>
      <c r="F31" s="31" t="s">
        <v>88</v>
      </c>
      <c r="G31" s="31" t="s">
        <v>35</v>
      </c>
      <c r="H31" s="31" t="s">
        <v>46</v>
      </c>
      <c r="I31" s="31" t="s">
        <v>56</v>
      </c>
      <c r="J31" s="31" t="s">
        <v>117</v>
      </c>
      <c r="K31" s="31" t="s">
        <v>118</v>
      </c>
      <c r="L31" s="30"/>
      <c r="M31" s="30"/>
      <c r="N31" s="30"/>
      <c r="O31" s="32" t="s">
        <v>38</v>
      </c>
      <c r="P31" s="23"/>
    </row>
    <row r="32" spans="1:16" ht="14" x14ac:dyDescent="0.15">
      <c r="A32" s="23"/>
      <c r="B32" s="29" t="s">
        <v>66</v>
      </c>
      <c r="C32" s="30"/>
      <c r="D32" s="31" t="s">
        <v>77</v>
      </c>
      <c r="E32" s="31" t="s">
        <v>87</v>
      </c>
      <c r="F32" s="31" t="s">
        <v>34</v>
      </c>
      <c r="G32" s="31" t="s">
        <v>45</v>
      </c>
      <c r="H32" s="31" t="s">
        <v>55</v>
      </c>
      <c r="I32" s="31" t="s">
        <v>65</v>
      </c>
      <c r="J32" s="31" t="s">
        <v>119</v>
      </c>
      <c r="K32" s="31" t="s">
        <v>120</v>
      </c>
      <c r="L32" s="30"/>
      <c r="M32" s="30"/>
      <c r="N32" s="30"/>
      <c r="O32" s="32" t="s">
        <v>38</v>
      </c>
      <c r="P32" s="23"/>
    </row>
    <row r="33" spans="1:29" ht="14" x14ac:dyDescent="0.15">
      <c r="A33" s="23"/>
      <c r="B33" s="29" t="s">
        <v>75</v>
      </c>
      <c r="C33" s="30"/>
      <c r="D33" s="31" t="s">
        <v>86</v>
      </c>
      <c r="E33" s="31" t="s">
        <v>33</v>
      </c>
      <c r="F33" s="31" t="s">
        <v>44</v>
      </c>
      <c r="G33" s="31" t="s">
        <v>54</v>
      </c>
      <c r="H33" s="31" t="s">
        <v>64</v>
      </c>
      <c r="I33" s="31" t="s">
        <v>74</v>
      </c>
      <c r="J33" s="31" t="s">
        <v>121</v>
      </c>
      <c r="K33" s="31" t="s">
        <v>122</v>
      </c>
      <c r="L33" s="30"/>
      <c r="M33" s="30"/>
      <c r="N33" s="30"/>
      <c r="O33" s="32" t="s">
        <v>38</v>
      </c>
      <c r="P33" s="23"/>
    </row>
    <row r="34" spans="1:29" ht="14" x14ac:dyDescent="0.15">
      <c r="A34" s="23"/>
      <c r="B34" s="29" t="s">
        <v>84</v>
      </c>
      <c r="C34" s="30"/>
      <c r="D34" s="31" t="s">
        <v>32</v>
      </c>
      <c r="E34" s="31" t="s">
        <v>43</v>
      </c>
      <c r="F34" s="31" t="s">
        <v>53</v>
      </c>
      <c r="G34" s="31" t="s">
        <v>63</v>
      </c>
      <c r="H34" s="31" t="s">
        <v>73</v>
      </c>
      <c r="I34" s="31" t="s">
        <v>83</v>
      </c>
      <c r="J34" s="31" t="s">
        <v>123</v>
      </c>
      <c r="K34" s="31" t="s">
        <v>124</v>
      </c>
      <c r="L34" s="30"/>
      <c r="M34" s="30"/>
      <c r="N34" s="30"/>
      <c r="O34" s="32" t="s">
        <v>38</v>
      </c>
      <c r="P34" s="23"/>
    </row>
    <row r="35" spans="1:29" ht="14" x14ac:dyDescent="0.15">
      <c r="A35" s="23"/>
      <c r="B35" s="29" t="s">
        <v>93</v>
      </c>
      <c r="C35" s="30"/>
      <c r="D35" s="31" t="s">
        <v>42</v>
      </c>
      <c r="E35" s="31" t="s">
        <v>52</v>
      </c>
      <c r="F35" s="31" t="s">
        <v>62</v>
      </c>
      <c r="G35" s="31" t="s">
        <v>72</v>
      </c>
      <c r="H35" s="31" t="s">
        <v>82</v>
      </c>
      <c r="I35" s="31" t="s">
        <v>92</v>
      </c>
      <c r="J35" s="31" t="s">
        <v>125</v>
      </c>
      <c r="K35" s="31" t="s">
        <v>126</v>
      </c>
      <c r="L35" s="30"/>
      <c r="M35" s="30"/>
      <c r="N35" s="30"/>
      <c r="O35" s="32" t="s">
        <v>38</v>
      </c>
      <c r="P35" s="23"/>
    </row>
    <row r="36" spans="1:29" x14ac:dyDescent="0.1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40" spans="1:29" x14ac:dyDescent="0.15">
      <c r="B40" s="5"/>
      <c r="C40" s="6">
        <v>1</v>
      </c>
      <c r="D40" s="6">
        <v>2</v>
      </c>
      <c r="E40" s="6">
        <v>3</v>
      </c>
      <c r="F40" s="6">
        <v>4</v>
      </c>
      <c r="G40" s="6">
        <v>5</v>
      </c>
      <c r="H40" s="6">
        <v>6</v>
      </c>
      <c r="I40" s="6">
        <v>7</v>
      </c>
      <c r="J40" s="6">
        <v>8</v>
      </c>
      <c r="K40" s="6">
        <v>9</v>
      </c>
      <c r="L40" s="6">
        <v>10</v>
      </c>
      <c r="M40" s="6">
        <v>11</v>
      </c>
      <c r="N40" s="6">
        <v>12</v>
      </c>
      <c r="Q40" s="5"/>
      <c r="R40" s="6">
        <v>1</v>
      </c>
      <c r="S40" s="41">
        <v>2</v>
      </c>
      <c r="T40" s="41">
        <v>3</v>
      </c>
      <c r="U40" s="41">
        <v>4</v>
      </c>
      <c r="V40" s="41">
        <v>5</v>
      </c>
      <c r="W40" s="6">
        <v>6</v>
      </c>
      <c r="X40" s="6">
        <v>7</v>
      </c>
      <c r="Y40" s="6">
        <v>8</v>
      </c>
      <c r="Z40" s="6">
        <v>9</v>
      </c>
      <c r="AA40" s="6">
        <v>10</v>
      </c>
      <c r="AB40" s="6">
        <v>11</v>
      </c>
      <c r="AC40" s="6">
        <v>12</v>
      </c>
    </row>
    <row r="41" spans="1:29" ht="14" x14ac:dyDescent="0.15">
      <c r="B41" s="6" t="s">
        <v>29</v>
      </c>
      <c r="C41" s="7"/>
      <c r="D41" s="14">
        <v>147929</v>
      </c>
      <c r="E41" s="14">
        <v>139093</v>
      </c>
      <c r="F41" s="14">
        <v>144458</v>
      </c>
      <c r="G41" s="14">
        <v>141593</v>
      </c>
      <c r="H41" s="11">
        <v>161518</v>
      </c>
      <c r="I41" s="11">
        <v>161835</v>
      </c>
      <c r="J41" s="10">
        <v>165424</v>
      </c>
      <c r="K41" s="11">
        <v>162675</v>
      </c>
      <c r="L41" s="7"/>
      <c r="M41" s="7"/>
      <c r="N41" s="7"/>
      <c r="O41" s="13">
        <v>560590</v>
      </c>
      <c r="Q41" s="6" t="s">
        <v>29</v>
      </c>
      <c r="R41" s="40"/>
      <c r="S41" s="56">
        <v>38.1</v>
      </c>
      <c r="T41" s="57"/>
      <c r="U41" s="57"/>
      <c r="V41" s="58"/>
      <c r="W41" s="62">
        <v>19.05</v>
      </c>
      <c r="X41" s="60"/>
      <c r="Y41" s="60"/>
      <c r="Z41" s="61"/>
      <c r="AA41" s="7"/>
      <c r="AB41" s="7"/>
      <c r="AC41" s="7"/>
    </row>
    <row r="42" spans="1:29" ht="14" x14ac:dyDescent="0.15">
      <c r="B42" s="6" t="s">
        <v>39</v>
      </c>
      <c r="C42" s="7"/>
      <c r="D42" s="11">
        <v>160448</v>
      </c>
      <c r="E42" s="11">
        <v>159184</v>
      </c>
      <c r="F42" s="11">
        <v>155313</v>
      </c>
      <c r="G42" s="11">
        <v>161349</v>
      </c>
      <c r="H42" s="10">
        <v>170020</v>
      </c>
      <c r="I42" s="10">
        <v>169645</v>
      </c>
      <c r="J42" s="10">
        <v>165367</v>
      </c>
      <c r="K42" s="11">
        <v>162703</v>
      </c>
      <c r="L42" s="7"/>
      <c r="M42" s="7"/>
      <c r="N42" s="7"/>
      <c r="O42" s="13">
        <v>560590</v>
      </c>
      <c r="Q42" s="6" t="s">
        <v>39</v>
      </c>
      <c r="R42" s="7"/>
      <c r="S42" s="63">
        <v>9.5299999999999994</v>
      </c>
      <c r="T42" s="64"/>
      <c r="U42" s="64"/>
      <c r="V42" s="65"/>
      <c r="W42" s="59">
        <v>4.76</v>
      </c>
      <c r="X42" s="60"/>
      <c r="Y42" s="60"/>
      <c r="Z42" s="61"/>
      <c r="AA42" s="7"/>
      <c r="AB42" s="7"/>
      <c r="AC42" s="7"/>
    </row>
    <row r="43" spans="1:29" ht="14" x14ac:dyDescent="0.15">
      <c r="B43" s="6" t="s">
        <v>48</v>
      </c>
      <c r="C43" s="7"/>
      <c r="D43" s="14">
        <v>139683</v>
      </c>
      <c r="E43" s="11">
        <v>160113</v>
      </c>
      <c r="F43" s="11">
        <v>151945</v>
      </c>
      <c r="G43" s="11">
        <v>160637</v>
      </c>
      <c r="H43" s="10">
        <v>166262</v>
      </c>
      <c r="I43" s="10">
        <v>175686</v>
      </c>
      <c r="J43" s="10">
        <v>174870</v>
      </c>
      <c r="K43" s="11">
        <v>150072</v>
      </c>
      <c r="L43" s="7"/>
      <c r="M43" s="7"/>
      <c r="N43" s="7"/>
      <c r="O43" s="13">
        <v>560590</v>
      </c>
      <c r="Q43" s="6" t="s">
        <v>48</v>
      </c>
      <c r="R43" s="7"/>
      <c r="S43" s="59">
        <v>2.38</v>
      </c>
      <c r="T43" s="60"/>
      <c r="U43" s="60"/>
      <c r="V43" s="61"/>
      <c r="W43" s="59">
        <v>1.19</v>
      </c>
      <c r="X43" s="60"/>
      <c r="Y43" s="60"/>
      <c r="Z43" s="61"/>
      <c r="AA43" s="7"/>
      <c r="AB43" s="7"/>
      <c r="AC43" s="7"/>
    </row>
    <row r="44" spans="1:29" ht="14" x14ac:dyDescent="0.15">
      <c r="B44" s="6" t="s">
        <v>57</v>
      </c>
      <c r="C44" s="7"/>
      <c r="D44" s="16">
        <v>94098</v>
      </c>
      <c r="E44" s="16">
        <v>94586</v>
      </c>
      <c r="F44" s="20">
        <v>98074</v>
      </c>
      <c r="G44" s="20">
        <v>97422</v>
      </c>
      <c r="H44" s="20">
        <v>107957</v>
      </c>
      <c r="I44" s="20">
        <v>107270</v>
      </c>
      <c r="J44" s="20">
        <v>100424</v>
      </c>
      <c r="K44" s="20">
        <v>97954</v>
      </c>
      <c r="L44" s="7"/>
      <c r="M44" s="7"/>
      <c r="N44" s="7"/>
      <c r="O44" s="13">
        <v>560590</v>
      </c>
      <c r="Q44" s="6" t="s">
        <v>57</v>
      </c>
      <c r="R44" s="7"/>
      <c r="S44" s="46">
        <v>20</v>
      </c>
      <c r="T44" s="47"/>
      <c r="U44" s="47"/>
      <c r="V44" s="48"/>
      <c r="W44" s="46">
        <v>10</v>
      </c>
      <c r="X44" s="47"/>
      <c r="Y44" s="47"/>
      <c r="Z44" s="48"/>
      <c r="AA44" s="7"/>
      <c r="AB44" s="7"/>
      <c r="AC44" s="7"/>
    </row>
    <row r="45" spans="1:29" ht="14" x14ac:dyDescent="0.15">
      <c r="B45" s="6" t="s">
        <v>66</v>
      </c>
      <c r="C45" s="7"/>
      <c r="D45" s="20">
        <v>98174</v>
      </c>
      <c r="E45" s="21">
        <v>114498</v>
      </c>
      <c r="F45" s="21">
        <v>119223</v>
      </c>
      <c r="G45" s="21">
        <v>117300</v>
      </c>
      <c r="H45" s="15">
        <v>129960</v>
      </c>
      <c r="I45" s="15">
        <v>125313</v>
      </c>
      <c r="J45" s="21">
        <v>122226</v>
      </c>
      <c r="K45" s="15">
        <v>132090</v>
      </c>
      <c r="L45" s="7"/>
      <c r="M45" s="7"/>
      <c r="N45" s="7"/>
      <c r="O45" s="13">
        <v>560590</v>
      </c>
      <c r="Q45" s="6" t="s">
        <v>66</v>
      </c>
      <c r="R45" s="7"/>
      <c r="S45" s="46">
        <v>5</v>
      </c>
      <c r="T45" s="47"/>
      <c r="U45" s="47"/>
      <c r="V45" s="48"/>
      <c r="W45" s="46">
        <v>2.5</v>
      </c>
      <c r="X45" s="47"/>
      <c r="Y45" s="47"/>
      <c r="Z45" s="48"/>
      <c r="AA45" s="7"/>
      <c r="AB45" s="7"/>
      <c r="AC45" s="7"/>
    </row>
    <row r="46" spans="1:29" ht="14" x14ac:dyDescent="0.15">
      <c r="B46" s="6" t="s">
        <v>75</v>
      </c>
      <c r="C46" s="7"/>
      <c r="D46" s="15">
        <v>135801</v>
      </c>
      <c r="E46" s="14">
        <v>137032</v>
      </c>
      <c r="F46" s="15">
        <v>129416</v>
      </c>
      <c r="G46" s="14">
        <v>148357</v>
      </c>
      <c r="H46" s="14">
        <v>143602</v>
      </c>
      <c r="I46" s="14">
        <v>144025</v>
      </c>
      <c r="J46" s="14">
        <v>145785</v>
      </c>
      <c r="K46" s="11">
        <v>162417</v>
      </c>
      <c r="L46" s="7"/>
      <c r="M46" s="7"/>
      <c r="N46" s="7"/>
      <c r="O46" s="13">
        <v>560590</v>
      </c>
      <c r="Q46" s="6" t="s">
        <v>75</v>
      </c>
      <c r="R46" s="7"/>
      <c r="S46" s="46">
        <v>1.25</v>
      </c>
      <c r="T46" s="47"/>
      <c r="U46" s="47"/>
      <c r="V46" s="48"/>
      <c r="W46" s="46">
        <v>0.625</v>
      </c>
      <c r="X46" s="47"/>
      <c r="Y46" s="47"/>
      <c r="Z46" s="48"/>
      <c r="AA46" s="7"/>
      <c r="AB46" s="7"/>
      <c r="AC46" s="7"/>
    </row>
    <row r="47" spans="1:29" ht="14" x14ac:dyDescent="0.15">
      <c r="B47" s="6" t="s">
        <v>84</v>
      </c>
      <c r="C47" s="7"/>
      <c r="D47" s="10">
        <v>167439</v>
      </c>
      <c r="E47" s="12">
        <v>178828</v>
      </c>
      <c r="F47" s="12">
        <v>177435</v>
      </c>
      <c r="G47" s="12">
        <v>190375</v>
      </c>
      <c r="H47" s="10">
        <v>169598</v>
      </c>
      <c r="I47" s="12">
        <v>180312</v>
      </c>
      <c r="J47" s="10">
        <v>171925</v>
      </c>
      <c r="K47" s="12">
        <v>179662</v>
      </c>
      <c r="L47" s="7"/>
      <c r="M47" s="7"/>
      <c r="N47" s="7"/>
      <c r="O47" s="13">
        <v>560590</v>
      </c>
      <c r="Q47" s="6" t="s">
        <v>84</v>
      </c>
      <c r="R47" s="7"/>
      <c r="S47" s="59" t="s">
        <v>127</v>
      </c>
      <c r="T47" s="60"/>
      <c r="U47" s="60"/>
      <c r="V47" s="61"/>
      <c r="W47" s="46" t="s">
        <v>128</v>
      </c>
      <c r="X47" s="47"/>
      <c r="Y47" s="47"/>
      <c r="Z47" s="48"/>
      <c r="AA47" s="7"/>
      <c r="AB47" s="7"/>
      <c r="AC47" s="7"/>
    </row>
    <row r="48" spans="1:29" ht="14" x14ac:dyDescent="0.15">
      <c r="B48" s="6" t="s">
        <v>93</v>
      </c>
      <c r="C48" s="7"/>
      <c r="D48" s="11">
        <v>155998</v>
      </c>
      <c r="E48" s="10">
        <v>167080</v>
      </c>
      <c r="F48" s="10">
        <v>169744</v>
      </c>
      <c r="G48" s="10">
        <v>167191</v>
      </c>
      <c r="H48" s="22">
        <v>77956</v>
      </c>
      <c r="I48" s="22">
        <v>78283</v>
      </c>
      <c r="J48" s="22">
        <v>78041</v>
      </c>
      <c r="K48" s="22">
        <v>78408</v>
      </c>
      <c r="L48" s="7"/>
      <c r="M48" s="7"/>
      <c r="N48" s="7"/>
      <c r="O48" s="13">
        <v>560590</v>
      </c>
      <c r="Q48" s="6" t="s">
        <v>93</v>
      </c>
      <c r="R48" s="7"/>
      <c r="S48" s="53" t="s">
        <v>98</v>
      </c>
      <c r="T48" s="54"/>
      <c r="U48" s="54"/>
      <c r="V48" s="55"/>
      <c r="W48" s="50" t="s">
        <v>96</v>
      </c>
      <c r="X48" s="51"/>
      <c r="Y48" s="51"/>
      <c r="Z48" s="52"/>
      <c r="AA48" s="7"/>
      <c r="AB48" s="7"/>
      <c r="AC48" s="7"/>
    </row>
    <row r="51" spans="4:20" x14ac:dyDescent="0.15">
      <c r="D51" s="17"/>
      <c r="F51" s="19"/>
      <c r="S51" s="42"/>
      <c r="T51" s="17" t="s">
        <v>129</v>
      </c>
    </row>
    <row r="52" spans="4:20" x14ac:dyDescent="0.15">
      <c r="D52" s="17" t="s">
        <v>96</v>
      </c>
      <c r="E52">
        <f>AVERAGE(H48:K48)</f>
        <v>78172</v>
      </c>
      <c r="F52" s="19">
        <f>_xlfn.STDEV.P(H48:K48)/E52</f>
        <v>2.322375790832706E-3</v>
      </c>
      <c r="S52" s="43"/>
      <c r="T52" s="17" t="s">
        <v>130</v>
      </c>
    </row>
    <row r="54" spans="4:20" x14ac:dyDescent="0.15">
      <c r="D54" s="17" t="s">
        <v>104</v>
      </c>
      <c r="E54">
        <f>AVERAGE(D65:G65)</f>
        <v>100347.25</v>
      </c>
      <c r="F54" s="19">
        <f>_xlfn.STDEV.P(D65:G65)/E54</f>
        <v>8.1051456173027198E-2</v>
      </c>
    </row>
    <row r="55" spans="4:20" x14ac:dyDescent="0.15">
      <c r="D55" s="17" t="s">
        <v>105</v>
      </c>
      <c r="E55">
        <f>AVERAGE(H65:K65)</f>
        <v>97202.25</v>
      </c>
      <c r="F55" s="19">
        <f>_xlfn.STDEV.P(H65:K65)/E55</f>
        <v>4.826202018166436E-2</v>
      </c>
    </row>
    <row r="57" spans="4:20" x14ac:dyDescent="0.15">
      <c r="D57" s="17" t="s">
        <v>106</v>
      </c>
      <c r="E57">
        <f>AVERAGE(D66:G66)</f>
        <v>86831.25</v>
      </c>
      <c r="F57" s="19">
        <f>_xlfn.STDEV.P(D66:G66)/E57</f>
        <v>6.112163651000501E-2</v>
      </c>
    </row>
    <row r="59" spans="4:20" x14ac:dyDescent="0.15">
      <c r="D59">
        <f t="shared" ref="D59:K65" si="0">D41-$E$52</f>
        <v>69757</v>
      </c>
      <c r="E59">
        <f t="shared" si="0"/>
        <v>60921</v>
      </c>
      <c r="F59">
        <f t="shared" si="0"/>
        <v>66286</v>
      </c>
      <c r="G59">
        <f t="shared" si="0"/>
        <v>63421</v>
      </c>
      <c r="H59">
        <f t="shared" si="0"/>
        <v>83346</v>
      </c>
      <c r="I59">
        <f t="shared" si="0"/>
        <v>83663</v>
      </c>
      <c r="J59">
        <f t="shared" si="0"/>
        <v>87252</v>
      </c>
      <c r="K59">
        <f t="shared" si="0"/>
        <v>84503</v>
      </c>
    </row>
    <row r="60" spans="4:20" x14ac:dyDescent="0.15">
      <c r="D60">
        <f t="shared" si="0"/>
        <v>82276</v>
      </c>
      <c r="E60">
        <f t="shared" si="0"/>
        <v>81012</v>
      </c>
      <c r="F60">
        <f t="shared" si="0"/>
        <v>77141</v>
      </c>
      <c r="G60">
        <f t="shared" si="0"/>
        <v>83177</v>
      </c>
      <c r="H60">
        <f t="shared" si="0"/>
        <v>91848</v>
      </c>
      <c r="I60">
        <f t="shared" si="0"/>
        <v>91473</v>
      </c>
      <c r="J60">
        <f t="shared" si="0"/>
        <v>87195</v>
      </c>
      <c r="K60">
        <f t="shared" si="0"/>
        <v>84531</v>
      </c>
    </row>
    <row r="61" spans="4:20" x14ac:dyDescent="0.15">
      <c r="D61">
        <f t="shared" si="0"/>
        <v>61511</v>
      </c>
      <c r="E61">
        <f t="shared" si="0"/>
        <v>81941</v>
      </c>
      <c r="F61">
        <f t="shared" si="0"/>
        <v>73773</v>
      </c>
      <c r="G61">
        <f t="shared" si="0"/>
        <v>82465</v>
      </c>
      <c r="H61">
        <f t="shared" si="0"/>
        <v>88090</v>
      </c>
      <c r="I61">
        <f t="shared" si="0"/>
        <v>97514</v>
      </c>
      <c r="J61">
        <f t="shared" si="0"/>
        <v>96698</v>
      </c>
      <c r="K61">
        <f t="shared" si="0"/>
        <v>71900</v>
      </c>
    </row>
    <row r="62" spans="4:20" x14ac:dyDescent="0.15">
      <c r="D62">
        <f t="shared" si="0"/>
        <v>15926</v>
      </c>
      <c r="E62">
        <f t="shared" si="0"/>
        <v>16414</v>
      </c>
      <c r="F62">
        <f t="shared" si="0"/>
        <v>19902</v>
      </c>
      <c r="G62">
        <f t="shared" si="0"/>
        <v>19250</v>
      </c>
      <c r="H62">
        <f t="shared" si="0"/>
        <v>29785</v>
      </c>
      <c r="I62">
        <f t="shared" si="0"/>
        <v>29098</v>
      </c>
      <c r="J62">
        <f t="shared" si="0"/>
        <v>22252</v>
      </c>
      <c r="K62">
        <f t="shared" si="0"/>
        <v>19782</v>
      </c>
    </row>
    <row r="63" spans="4:20" x14ac:dyDescent="0.15">
      <c r="D63">
        <f t="shared" si="0"/>
        <v>20002</v>
      </c>
      <c r="E63">
        <f t="shared" si="0"/>
        <v>36326</v>
      </c>
      <c r="F63">
        <f t="shared" si="0"/>
        <v>41051</v>
      </c>
      <c r="G63">
        <f t="shared" si="0"/>
        <v>39128</v>
      </c>
      <c r="H63">
        <f t="shared" si="0"/>
        <v>51788</v>
      </c>
      <c r="I63">
        <f t="shared" si="0"/>
        <v>47141</v>
      </c>
      <c r="J63">
        <f t="shared" si="0"/>
        <v>44054</v>
      </c>
      <c r="K63">
        <f t="shared" si="0"/>
        <v>53918</v>
      </c>
    </row>
    <row r="64" spans="4:20" x14ac:dyDescent="0.15">
      <c r="D64">
        <f t="shared" si="0"/>
        <v>57629</v>
      </c>
      <c r="E64">
        <f t="shared" si="0"/>
        <v>58860</v>
      </c>
      <c r="F64">
        <f t="shared" si="0"/>
        <v>51244</v>
      </c>
      <c r="G64">
        <f t="shared" si="0"/>
        <v>70185</v>
      </c>
      <c r="H64">
        <f t="shared" si="0"/>
        <v>65430</v>
      </c>
      <c r="I64">
        <f t="shared" si="0"/>
        <v>65853</v>
      </c>
      <c r="J64">
        <f t="shared" si="0"/>
        <v>67613</v>
      </c>
      <c r="K64">
        <f t="shared" si="0"/>
        <v>84245</v>
      </c>
    </row>
    <row r="65" spans="4:12" x14ac:dyDescent="0.15">
      <c r="D65">
        <f t="shared" si="0"/>
        <v>89267</v>
      </c>
      <c r="E65">
        <f t="shared" si="0"/>
        <v>100656</v>
      </c>
      <c r="F65">
        <f t="shared" si="0"/>
        <v>99263</v>
      </c>
      <c r="G65">
        <f t="shared" si="0"/>
        <v>112203</v>
      </c>
      <c r="H65">
        <f t="shared" si="0"/>
        <v>91426</v>
      </c>
      <c r="I65">
        <f t="shared" si="0"/>
        <v>102140</v>
      </c>
      <c r="J65">
        <f t="shared" si="0"/>
        <v>93753</v>
      </c>
      <c r="K65">
        <f t="shared" si="0"/>
        <v>101490</v>
      </c>
    </row>
    <row r="66" spans="4:12" x14ac:dyDescent="0.15">
      <c r="D66">
        <f>D48-$E$52</f>
        <v>77826</v>
      </c>
      <c r="E66">
        <f>E48-$E$52</f>
        <v>88908</v>
      </c>
      <c r="F66">
        <f>F48-$E$52</f>
        <v>91572</v>
      </c>
      <c r="G66">
        <f>G48-$E$52</f>
        <v>89019</v>
      </c>
    </row>
    <row r="68" spans="4:12" x14ac:dyDescent="0.15">
      <c r="D68" s="18">
        <f t="shared" ref="D68:K70" si="1">D59/$E$54</f>
        <v>0.69515607054503237</v>
      </c>
      <c r="E68" s="18">
        <f t="shared" si="1"/>
        <v>0.60710183886454283</v>
      </c>
      <c r="F68" s="18">
        <f t="shared" si="1"/>
        <v>0.66056618392631583</v>
      </c>
      <c r="G68" s="18">
        <f t="shared" si="1"/>
        <v>0.63201532677776417</v>
      </c>
      <c r="H68" s="18">
        <f t="shared" si="1"/>
        <v>0.83057582544613828</v>
      </c>
      <c r="I68" s="18">
        <f t="shared" si="1"/>
        <v>0.83373485571353478</v>
      </c>
      <c r="J68" s="18">
        <f t="shared" si="1"/>
        <v>0.86950065896175532</v>
      </c>
      <c r="K68" s="18">
        <f t="shared" si="1"/>
        <v>0.84210578765237709</v>
      </c>
    </row>
    <row r="69" spans="4:12" x14ac:dyDescent="0.15">
      <c r="D69" s="18">
        <f t="shared" si="1"/>
        <v>0.8199128526192796</v>
      </c>
      <c r="E69" s="18">
        <f t="shared" si="1"/>
        <v>0.80731659313035486</v>
      </c>
      <c r="F69" s="18">
        <f t="shared" si="1"/>
        <v>0.76874054844552298</v>
      </c>
      <c r="G69" s="18">
        <f t="shared" si="1"/>
        <v>0.82889167366320449</v>
      </c>
      <c r="H69" s="18">
        <f t="shared" si="1"/>
        <v>0.91530161514142139</v>
      </c>
      <c r="I69" s="18">
        <f t="shared" si="1"/>
        <v>0.91156459195443817</v>
      </c>
      <c r="J69" s="18">
        <f t="shared" si="1"/>
        <v>0.8689326314373339</v>
      </c>
      <c r="K69" s="18">
        <f t="shared" si="1"/>
        <v>0.84238481871700521</v>
      </c>
    </row>
    <row r="70" spans="4:12" x14ac:dyDescent="0.15">
      <c r="D70" s="18">
        <f t="shared" si="1"/>
        <v>0.61298142201206307</v>
      </c>
      <c r="E70" s="18">
        <f t="shared" si="1"/>
        <v>0.81657444523890788</v>
      </c>
      <c r="F70" s="18">
        <f t="shared" si="1"/>
        <v>0.73517709752883109</v>
      </c>
      <c r="G70" s="18">
        <f t="shared" si="1"/>
        <v>0.82179631230551908</v>
      </c>
      <c r="H70" s="18">
        <f t="shared" si="1"/>
        <v>0.87785166011026705</v>
      </c>
      <c r="I70" s="18">
        <f t="shared" si="1"/>
        <v>0.97176554414794625</v>
      </c>
      <c r="J70" s="18">
        <f t="shared" si="1"/>
        <v>0.96363378169307079</v>
      </c>
      <c r="K70" s="18">
        <f t="shared" si="1"/>
        <v>0.71651191238424572</v>
      </c>
    </row>
    <row r="71" spans="4:12" x14ac:dyDescent="0.15">
      <c r="D71" s="18">
        <f t="shared" ref="D71:K73" si="2">D62/$E$55</f>
        <v>0.16384394394162688</v>
      </c>
      <c r="E71" s="18">
        <f t="shared" si="2"/>
        <v>0.16886440385896417</v>
      </c>
      <c r="F71" s="18">
        <f t="shared" si="2"/>
        <v>0.20474834687468654</v>
      </c>
      <c r="G71" s="18">
        <f t="shared" si="2"/>
        <v>0.19804068321463753</v>
      </c>
      <c r="H71" s="18">
        <f t="shared" si="2"/>
        <v>0.30642294802846642</v>
      </c>
      <c r="I71" s="18">
        <f t="shared" si="2"/>
        <v>0.29935521039893626</v>
      </c>
      <c r="J71" s="18">
        <f t="shared" si="2"/>
        <v>0.22892474196842152</v>
      </c>
      <c r="K71" s="18">
        <f t="shared" si="2"/>
        <v>0.20351380755075113</v>
      </c>
    </row>
    <row r="72" spans="4:12" x14ac:dyDescent="0.15">
      <c r="D72" s="18">
        <f t="shared" si="2"/>
        <v>0.20577712964463271</v>
      </c>
      <c r="E72" s="18">
        <f t="shared" si="2"/>
        <v>0.37371562901064531</v>
      </c>
      <c r="F72" s="18">
        <f t="shared" si="2"/>
        <v>0.42232561489060183</v>
      </c>
      <c r="G72" s="18">
        <f t="shared" si="2"/>
        <v>0.402542122224537</v>
      </c>
      <c r="H72" s="18">
        <f t="shared" si="2"/>
        <v>0.53278602089972193</v>
      </c>
      <c r="I72" s="18">
        <f t="shared" si="2"/>
        <v>0.48497848558032353</v>
      </c>
      <c r="J72" s="18">
        <f t="shared" si="2"/>
        <v>0.45321996147208526</v>
      </c>
      <c r="K72" s="18">
        <f t="shared" si="2"/>
        <v>0.55469909389957539</v>
      </c>
    </row>
    <row r="73" spans="4:12" x14ac:dyDescent="0.15">
      <c r="D73" s="18">
        <f t="shared" si="2"/>
        <v>0.5928772224922777</v>
      </c>
      <c r="E73" s="18">
        <f t="shared" si="2"/>
        <v>0.60554153839031499</v>
      </c>
      <c r="F73" s="18">
        <f t="shared" si="2"/>
        <v>0.52718944263121481</v>
      </c>
      <c r="G73" s="18">
        <f t="shared" si="2"/>
        <v>0.72205118708671867</v>
      </c>
      <c r="H73" s="18">
        <f t="shared" si="2"/>
        <v>0.67313256637577834</v>
      </c>
      <c r="I73" s="18">
        <f t="shared" si="2"/>
        <v>0.67748431749265059</v>
      </c>
      <c r="J73" s="18">
        <f t="shared" si="2"/>
        <v>0.69559089424370324</v>
      </c>
      <c r="K73" s="18">
        <f t="shared" si="2"/>
        <v>0.86669804454115007</v>
      </c>
    </row>
    <row r="77" spans="4:12" x14ac:dyDescent="0.15">
      <c r="E77" s="49" t="s">
        <v>107</v>
      </c>
      <c r="F77" s="49"/>
      <c r="G77" s="49"/>
      <c r="J77" s="49" t="s">
        <v>108</v>
      </c>
      <c r="K77" s="49"/>
      <c r="L77" s="49"/>
    </row>
    <row r="78" spans="4:12" x14ac:dyDescent="0.15">
      <c r="E78" s="33" t="s">
        <v>101</v>
      </c>
      <c r="F78" s="34" t="s">
        <v>102</v>
      </c>
      <c r="G78" s="34" t="s">
        <v>103</v>
      </c>
      <c r="J78" s="33" t="s">
        <v>101</v>
      </c>
      <c r="K78" s="34" t="s">
        <v>102</v>
      </c>
      <c r="L78" s="34" t="s">
        <v>103</v>
      </c>
    </row>
    <row r="79" spans="4:12" ht="14" x14ac:dyDescent="0.15">
      <c r="E79" s="35">
        <v>38.1</v>
      </c>
      <c r="F79" s="38">
        <f>AVERAGE(D68:G68)</f>
        <v>0.64870985502841383</v>
      </c>
      <c r="G79" s="37">
        <f>_xlfn.STDEV.P(D68:G68)</f>
        <v>3.281675545112623E-2</v>
      </c>
      <c r="J79" s="35">
        <v>20</v>
      </c>
      <c r="K79" s="36">
        <f>AVERAGE(D71:G71)</f>
        <v>0.18387434447247877</v>
      </c>
      <c r="L79" s="37">
        <f>_xlfn.STDEV.P(D71:G71)</f>
        <v>1.7768823767293593E-2</v>
      </c>
    </row>
    <row r="80" spans="4:12" ht="14" x14ac:dyDescent="0.15">
      <c r="E80" s="35">
        <v>19.05</v>
      </c>
      <c r="F80" s="36">
        <f>AVERAGE(H68:K68)</f>
        <v>0.8439792819434514</v>
      </c>
      <c r="G80" s="37">
        <f>_xlfn.STDEV.P(H68:K68)</f>
        <v>1.532523719738677E-2</v>
      </c>
      <c r="J80" s="35">
        <v>10</v>
      </c>
      <c r="K80" s="36">
        <f>AVERAGE(H71:K71)</f>
        <v>0.25955417698664385</v>
      </c>
      <c r="L80" s="37">
        <f>_xlfn.STDEV.P(H71:K71)</f>
        <v>4.4326880263853632E-2</v>
      </c>
    </row>
    <row r="81" spans="5:12" ht="14" x14ac:dyDescent="0.15">
      <c r="E81" s="35">
        <v>9.5299999999999994</v>
      </c>
      <c r="F81" s="36">
        <f>AVERAGE(D69:G69)</f>
        <v>0.80621541696459043</v>
      </c>
      <c r="G81" s="37">
        <f>_xlfn.STDEV.P(D69:G69)</f>
        <v>2.2953271666830144E-2</v>
      </c>
      <c r="J81" s="35">
        <v>5</v>
      </c>
      <c r="K81" s="36">
        <f>AVERAGE(D72:G72)</f>
        <v>0.35109012394260419</v>
      </c>
      <c r="L81" s="37">
        <f>_xlfn.STDEV.P(D72:G72)</f>
        <v>8.5658600107100427E-2</v>
      </c>
    </row>
    <row r="82" spans="5:12" ht="14" x14ac:dyDescent="0.15">
      <c r="E82" s="35">
        <v>4.76</v>
      </c>
      <c r="F82" s="36">
        <f>AVERAGE(H69:K69)</f>
        <v>0.8845459143125497</v>
      </c>
      <c r="G82" s="37">
        <f>_xlfn.STDEV.P(H69:K69)</f>
        <v>3.040252727549755E-2</v>
      </c>
      <c r="J82" s="39">
        <v>2.5</v>
      </c>
      <c r="K82" s="36">
        <f>AVERAGE(H72:K72)</f>
        <v>0.5064208904629266</v>
      </c>
      <c r="L82" s="37">
        <f>_xlfn.STDEV.P(H72:K72)</f>
        <v>3.9736697782584117E-2</v>
      </c>
    </row>
    <row r="83" spans="5:12" ht="14" x14ac:dyDescent="0.15">
      <c r="E83" s="35">
        <v>2.38</v>
      </c>
      <c r="F83" s="36">
        <f>AVERAGE(D70:G70)</f>
        <v>0.74663231927133034</v>
      </c>
      <c r="G83" s="37">
        <f>_xlfn.STDEV.P(D70:G70)</f>
        <v>8.4461990381894197E-2</v>
      </c>
      <c r="J83" s="39">
        <v>1.25</v>
      </c>
      <c r="K83" s="36">
        <f>AVERAGE(D73:G73)</f>
        <v>0.61191484765013149</v>
      </c>
      <c r="L83" s="37">
        <f>_xlfn.STDEV.P(D73:G73)</f>
        <v>7.0198749566290186E-2</v>
      </c>
    </row>
    <row r="84" spans="5:12" ht="14" x14ac:dyDescent="0.15">
      <c r="E84" s="35">
        <v>1.19</v>
      </c>
      <c r="F84" s="36">
        <f>AVERAGE(H70:K70)</f>
        <v>0.88244072458388245</v>
      </c>
      <c r="G84" s="37">
        <f>_xlfn.STDEV.P(H70:K70)</f>
        <v>0.10262147209967058</v>
      </c>
      <c r="J84" s="39">
        <v>0.625</v>
      </c>
      <c r="K84" s="36">
        <f>AVERAGE(H73:K73)</f>
        <v>0.72822645566332045</v>
      </c>
      <c r="L84" s="37">
        <f>_xlfn.STDEV.P(H73:K73)</f>
        <v>8.0388994922321627E-2</v>
      </c>
    </row>
  </sheetData>
  <mergeCells count="18">
    <mergeCell ref="S41:V41"/>
    <mergeCell ref="S47:V47"/>
    <mergeCell ref="W47:Z47"/>
    <mergeCell ref="W41:Z41"/>
    <mergeCell ref="S42:V42"/>
    <mergeCell ref="W42:Z42"/>
    <mergeCell ref="S43:V43"/>
    <mergeCell ref="W43:Z43"/>
    <mergeCell ref="S44:V44"/>
    <mergeCell ref="W44:Z44"/>
    <mergeCell ref="S45:V45"/>
    <mergeCell ref="S46:V46"/>
    <mergeCell ref="W45:Z45"/>
    <mergeCell ref="W46:Z46"/>
    <mergeCell ref="E77:G77"/>
    <mergeCell ref="J77:L77"/>
    <mergeCell ref="W48:Z48"/>
    <mergeCell ref="S48:V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BME Lab 3054</dc:creator>
  <cp:keywords/>
  <dc:description/>
  <cp:lastModifiedBy>Rachel Liu</cp:lastModifiedBy>
  <cp:revision/>
  <dcterms:created xsi:type="dcterms:W3CDTF">2011-01-18T20:51:17Z</dcterms:created>
  <dcterms:modified xsi:type="dcterms:W3CDTF">2026-07-29T16:09:55Z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